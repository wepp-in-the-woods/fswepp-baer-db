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pivotTables/pivotTable1.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clfarr\Box\2500Watershed\2523_PostFire\2523_PostFire_WOfiles\!BAER requests and reports\!FY2023\R6\"/>
    </mc:Choice>
  </mc:AlternateContent>
  <xr:revisionPtr revIDLastSave="0" documentId="8_{FFB48C10-29C6-4F79-B878-BBCC46F2FBA5}" xr6:coauthVersionLast="47" xr6:coauthVersionMax="47" xr10:uidLastSave="{00000000-0000-0000-0000-000000000000}"/>
  <bookViews>
    <workbookView xWindow="810" yWindow="-120" windowWidth="28110" windowHeight="16440" tabRatio="778" firstSheet="22" activeTab="22" xr2:uid="{8875EF5A-0AC9-46E0-BB6C-FB9977D7D7CB}"/>
  </bookViews>
  <sheets>
    <sheet name="RequestSummary" sheetId="1" r:id="rId1"/>
    <sheet name="Memaloose Admin Horse Pasture F" sheetId="12" r:id="rId2"/>
    <sheet name="Granny View Boundary Fence" sheetId="16" r:id="rId3"/>
    <sheet name="Ecology Plot Fence" sheetId="19" r:id="rId4"/>
    <sheet name="Pasture fence 50% costshare" sheetId="13" r:id="rId5"/>
    <sheet name="Burned Buildings Cleanup High" sheetId="17" r:id="rId6"/>
    <sheet name="Burned Buildings Cleanup Low" sheetId="36" r:id="rId7"/>
    <sheet name="Double Creek Rec Site Repairs" sheetId="31" r:id="rId8"/>
    <sheet name="Double Creek Signs" sheetId="30" r:id="rId9"/>
    <sheet name="Nebo Signs" sheetId="34" r:id="rId10"/>
    <sheet name="Sturgill Signs" sheetId="28" r:id="rId11"/>
    <sheet name="Double Creek Trail Repair" sheetId="27" r:id="rId12"/>
    <sheet name="Double Creek Trail Boardwalks" sheetId="29" r:id="rId13"/>
    <sheet name="Nebo Trail Repair" sheetId="32" r:id="rId14"/>
    <sheet name="Nebo Trail Bridges" sheetId="33" r:id="rId15"/>
    <sheet name="Sturgill Trail Repair" sheetId="35" r:id="rId16"/>
    <sheet name="InvPlant_Protect_Double" sheetId="21" r:id="rId17"/>
    <sheet name="InvPlant_Suppression_Double" sheetId="20" r:id="rId18"/>
    <sheet name="InvPlant_Suppression_Nebo" sheetId="22" r:id="rId19"/>
    <sheet name="InvPlant_Suppression_Sturgil" sheetId="25" r:id="rId20"/>
    <sheet name="DoubleCreek_Seeding" sheetId="26" r:id="rId21"/>
    <sheet name="Nebo_Seeding" sheetId="23" r:id="rId22"/>
    <sheet name="Sturgil_Seeding" sheetId="24" r:id="rId23"/>
    <sheet name="Lists" sheetId="10" state="hidden" r:id="rId24"/>
    <sheet name="Sheet1" sheetId="37" state="hidden" r:id="rId25"/>
    <sheet name="ProjectActivityInformation" sheetId="4" r:id="rId26"/>
    <sheet name="Sheet2" sheetId="38" r:id="rId27"/>
  </sheets>
  <definedNames>
    <definedName name="_xlnm._FilterDatabase" localSheetId="0" hidden="1">RequestSummary!$A$10:$AC$17</definedName>
  </definedNames>
  <calcPr calcId="191028"/>
  <pivotCaches>
    <pivotCache cacheId="12" r:id="rId2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8" i="1" l="1"/>
  <c r="H29" i="1"/>
  <c r="H27" i="1"/>
  <c r="H26" i="1"/>
  <c r="H30" i="1"/>
  <c r="D18" i="33"/>
  <c r="D22" i="31"/>
  <c r="B8" i="1"/>
  <c r="D18" i="28"/>
  <c r="D15" i="28"/>
  <c r="D12" i="31"/>
  <c r="D13" i="31"/>
  <c r="D14" i="31"/>
  <c r="D15" i="31"/>
  <c r="D16" i="31"/>
  <c r="D17" i="31"/>
  <c r="D18" i="31"/>
  <c r="D19" i="31"/>
  <c r="D17" i="36"/>
  <c r="D16" i="36"/>
  <c r="D15" i="36"/>
  <c r="D14" i="36"/>
  <c r="D13" i="36"/>
  <c r="D12" i="36"/>
  <c r="D18" i="36" s="1"/>
  <c r="D20" i="31"/>
  <c r="D21" i="31"/>
  <c r="D17" i="35"/>
  <c r="D16" i="35"/>
  <c r="D15" i="35"/>
  <c r="D14" i="35"/>
  <c r="D13" i="35"/>
  <c r="D18" i="35"/>
  <c r="D17" i="34"/>
  <c r="D16" i="34"/>
  <c r="D18" i="34"/>
  <c r="D17" i="33"/>
  <c r="D16" i="33"/>
  <c r="D15" i="33"/>
  <c r="D17" i="32"/>
  <c r="D16" i="32"/>
  <c r="D15" i="32"/>
  <c r="D14" i="32"/>
  <c r="D13" i="32"/>
  <c r="D18" i="32"/>
  <c r="D17" i="30"/>
  <c r="D18" i="30"/>
  <c r="D17" i="29"/>
  <c r="D16" i="29"/>
  <c r="D15" i="29"/>
  <c r="D18" i="29"/>
  <c r="D17" i="28"/>
  <c r="D16" i="28"/>
  <c r="D17" i="27"/>
  <c r="D16" i="27"/>
  <c r="D15" i="27"/>
  <c r="D14" i="27"/>
  <c r="D13" i="27"/>
  <c r="D18" i="27"/>
  <c r="D17" i="26"/>
  <c r="D16" i="26"/>
  <c r="D15" i="26"/>
  <c r="D14" i="26"/>
  <c r="D18" i="26"/>
  <c r="D17" i="25"/>
  <c r="D16" i="25"/>
  <c r="D15" i="25"/>
  <c r="D18" i="25"/>
  <c r="D17" i="24"/>
  <c r="D16" i="24"/>
  <c r="D15" i="24"/>
  <c r="D14" i="24"/>
  <c r="D13" i="24"/>
  <c r="D18" i="24"/>
  <c r="D17" i="23"/>
  <c r="D16" i="23"/>
  <c r="D15" i="23"/>
  <c r="D14" i="23"/>
  <c r="D13" i="23"/>
  <c r="D18" i="23"/>
  <c r="D12" i="4"/>
  <c r="D17" i="22"/>
  <c r="D16" i="22"/>
  <c r="D15" i="22"/>
  <c r="D18" i="22"/>
  <c r="D17" i="21"/>
  <c r="D16" i="21"/>
  <c r="D15" i="21"/>
  <c r="D14" i="21"/>
  <c r="D18" i="21"/>
  <c r="D17" i="20"/>
  <c r="D16" i="20"/>
  <c r="D15" i="20"/>
  <c r="D18" i="20"/>
  <c r="D17" i="19"/>
  <c r="D16" i="19"/>
  <c r="D15" i="19"/>
  <c r="D14" i="19"/>
  <c r="D13" i="19"/>
  <c r="D12" i="19"/>
  <c r="D18" i="19" s="1"/>
  <c r="D17" i="17"/>
  <c r="D16" i="17"/>
  <c r="D15" i="17"/>
  <c r="D14" i="17"/>
  <c r="D13" i="17"/>
  <c r="D12" i="17"/>
  <c r="D18" i="17" s="1"/>
  <c r="D18" i="16"/>
  <c r="D17" i="16"/>
  <c r="D16" i="16"/>
  <c r="D15" i="16"/>
  <c r="D14" i="16"/>
  <c r="D13" i="16"/>
  <c r="D12" i="16"/>
  <c r="H14" i="1"/>
  <c r="D13" i="12"/>
  <c r="D19" i="12" s="1"/>
  <c r="D18" i="12"/>
  <c r="D17" i="12"/>
  <c r="D16" i="12"/>
  <c r="D15" i="12"/>
  <c r="D14" i="12"/>
  <c r="D16" i="13"/>
  <c r="D15" i="13"/>
  <c r="D14" i="13"/>
  <c r="D13" i="13"/>
  <c r="D12" i="12"/>
  <c r="D18" i="4"/>
  <c r="D13" i="4"/>
  <c r="D14" i="4"/>
  <c r="D19" i="16" l="1"/>
  <c r="D18" i="13"/>
  <c r="D17" i="4"/>
  <c r="D16" i="4"/>
  <c r="D1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tc={115FDDBB-9AE5-4FD4-964C-7ACB5D58C8F5}</author>
  </authors>
  <commentList>
    <comment ref="B5" authorId="0" shapeId="0" xr:uid="{115FDDBB-9AE5-4FD4-964C-7ACB5D58C8F5}">
      <text>
        <t>[Threaded comment]
Your version of Excel allows you to read this threaded comment; however, any edits to it will get removed if the file is opened in a newer version of Excel. Learn more: https://go.microsoft.com/fwlink/?linkid=870924
Comment:
    how is this different than the high priority sites? is Granny View site near a road (lower cost)? The decsription is the same as for the high priority sites
Reply:
    The difference is - high priority were buildings being USED. Low priority buildings were being unused at the time of the fires. 
which is part of the BAR guidance - we didn't want to exclude them though because I personally feel (Mary) like they should qualify. 
Reply:
    granny view is much more accessible and cost is lower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tc={9332C391-AFE3-4B2B-8F46-91E329819326}</author>
  </authors>
  <commentList>
    <comment ref="B7" authorId="0" shapeId="0" xr:uid="{9332C391-AFE3-4B2B-8F46-91E329819326}">
      <text>
        <t>[Threaded comment]
Your version of Excel allows you to read this threaded comment; however, any edits to it will get removed if the file is opened in a newer version of Excel. Learn more: https://go.microsoft.com/fwlink/?linkid=870924
Comment:
    fire resilient material? e.g. concrete benches, metal spring box and distribution lines?
Reply:
    Yes. Updated to include that in the design/construction specs 2/27/23</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tc={4DD955E3-E68B-4189-90ED-D6A602561A41}</author>
  </authors>
  <commentList>
    <comment ref="C15" authorId="0" shapeId="0" xr:uid="{4DD955E3-E68B-4189-90ED-D6A602561A41}">
      <text>
        <t xml:space="preserve">[Threaded comment]
Your version of Excel allows you to read this threaded comment; however, any edits to it will get removed if the file is opened in a newer version of Excel. Learn more: https://go.microsoft.com/fwlink/?linkid=870924
Comment:
    should this be 8? previous tabs had one unit of installation per sign
Reply:
    Changed trail sign installation from 16 to 8 per discussion with John Hollenbeak 2/27/23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tc={2F66609C-C280-4BF9-9B82-6BC9117C4DF6}</author>
  </authors>
  <commentList>
    <comment ref="B5" authorId="0" shapeId="0" xr:uid="{2F66609C-C280-4BF9-9B82-6BC9117C4DF6}">
      <text>
        <t xml:space="preserve">[Threaded comment]
Your version of Excel allows you to read this threaded comment; however, any edits to it will get removed if the file is opened in a newer version of Excel. Learn more: https://go.microsoft.com/fwlink/?linkid=870924
Comment:
    if fire did not damage the bridge directly it likely is not eligible for BAR
Reply:
    One bridge DID burn the other likely burned (was located in mod/high SBS mosaic burn) however it was washed away during a rain event before the BAER team assembled. It was not able to be located because of safety. I'm checking with recreation shop to see if someone did see the bridge before it was washed out.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tc={A945C577-2051-4814-9C0E-12936AC79327}</author>
  </authors>
  <commentList>
    <comment ref="B12" authorId="0" shapeId="0" xr:uid="{A945C577-2051-4814-9C0E-12936AC79327}">
      <text>
        <t xml:space="preserve">[Threaded comment]
Your version of Excel allows you to read this threaded comment; however, any edits to it will get removed if the file is opened in a newer version of Excel. Learn more: https://go.microsoft.com/fwlink/?linkid=870924
Comment:
    unit cost difference between the fires? economy of scale, access, pack stock needs partners, amount of logout? some reasoning would be beneficial
Reply:
    I asked Recreation just now. Sturgill is in the wilderness so any trail repair will likely require pack stock needs and having help from partners. It likely is just more costly because of access but I did ask Recreation folks to provide more detail on cost/unit difference for sturgill. 
Reply:
    Sturgill trail cost is due to the work being more spread out and takes alot more work just to get there. for instance if the trails are opened already it would still take a full day to get to each individual site. likely some trail work would have to be performed to establish access.
Reply:
    I did add some description of the additional work that is associated with Nebo and Sturgil. They are higher and it all has to do with access.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tc={A3E69C0F-A310-4F89-AE34-9160D29CF1CB}</author>
    <author>tc={64E79587-CEB5-43BC-BC46-2411D6C038DD}</author>
  </authors>
  <commentList>
    <comment ref="B5" authorId="0" shapeId="0" xr:uid="{A3E69C0F-A310-4F89-AE34-9160D29CF1CB}">
      <text>
        <t>[Threaded comment]
Your version of Excel allows you to read this threaded comment; however, any edits to it will get removed if the file is opened in a newer version of Excel. Learn more: https://go.microsoft.com/fwlink/?linkid=870924
Comment:
    suppression repair EDRR is covered in 2500-8. How is this different? as written and expressed it seems to be continuation of approved BAER activities and would be appropriate for years 2 and 3.</t>
      </text>
    </comment>
    <comment ref="C12" authorId="1" shapeId="0" xr:uid="{64E79587-CEB5-43BC-BC46-2411D6C038DD}">
      <text>
        <t>[Threaded comment]
Your version of Excel allows you to read this threaded comment; however, any edits to it will get removed if the file is opened in a newer version of Excel. Learn more: https://go.microsoft.com/fwlink/?linkid=870924
Comment:
    same number of acres and unit cost per acre as the 2500-8 BAER report</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tc={D86030B4-759B-48BA-95B4-27A912D03EBC}</author>
  </authors>
  <commentList>
    <comment ref="B5" authorId="0" shapeId="0" xr:uid="{D86030B4-759B-48BA-95B4-27A912D03EBC}">
      <text>
        <t>[Threaded comment]
Your version of Excel allows you to read this threaded comment; however, any edits to it will get removed if the file is opened in a newer version of Excel. Learn more: https://go.microsoft.com/fwlink/?linkid=870924
Comment:
    since there was no suppression EDRR requested/approved for Sturgill and Nebo include what this covers that would not have been covered in BAER</t>
      </text>
    </comment>
  </commentList>
</comments>
</file>

<file path=xl/sharedStrings.xml><?xml version="1.0" encoding="utf-8"?>
<sst xmlns="http://schemas.openxmlformats.org/spreadsheetml/2006/main" count="739" uniqueCount="204">
  <si>
    <t>Burned Area Rehabilitation Funding Request</t>
  </si>
  <si>
    <t>Region:</t>
  </si>
  <si>
    <t>Forest:</t>
  </si>
  <si>
    <t>WWNF</t>
  </si>
  <si>
    <t>Fire(s):</t>
  </si>
  <si>
    <t>Double Creek, Nebo, Sturgill</t>
  </si>
  <si>
    <t>Contact:</t>
  </si>
  <si>
    <t>Jeff Evans, Mary Young</t>
  </si>
  <si>
    <t>Date:</t>
  </si>
  <si>
    <t>Pinyon folder link:</t>
  </si>
  <si>
    <t>https://usfs.box.com/s/88zbstjmn0tqtsmyfse9f6z841b2s4os</t>
  </si>
  <si>
    <t>Total request:</t>
  </si>
  <si>
    <t xml:space="preserve">For more information see the Burned Area Rehabilitation SP Site. </t>
  </si>
  <si>
    <t>Category</t>
  </si>
  <si>
    <t>Project Type</t>
  </si>
  <si>
    <r>
      <t xml:space="preserve">Activity Name
</t>
    </r>
    <r>
      <rPr>
        <sz val="12"/>
        <color rgb="FF000000"/>
        <rFont val="Calibri"/>
        <family val="2"/>
        <scheme val="minor"/>
      </rPr>
      <t>(Each activity needs an "ProjectActivityInformation" tab.)</t>
    </r>
  </si>
  <si>
    <t>Fire Name</t>
  </si>
  <si>
    <t>Unit</t>
  </si>
  <si>
    <t>Units Needed</t>
  </si>
  <si>
    <t>Cost/Unit</t>
  </si>
  <si>
    <t>Funds Requested</t>
  </si>
  <si>
    <t>Priority</t>
  </si>
  <si>
    <t>Notes and additional information for review.</t>
  </si>
  <si>
    <t>Category 1 - Minor Facilities and Infrastructure</t>
  </si>
  <si>
    <t>Non-Range Fences</t>
  </si>
  <si>
    <t>Reconstruction of Memaloose Horse Pasture Fence</t>
  </si>
  <si>
    <t>Double Creek</t>
  </si>
  <si>
    <t>miles</t>
  </si>
  <si>
    <t>Moderate</t>
  </si>
  <si>
    <t>includes material and reconstruction cost</t>
  </si>
  <si>
    <t>Granny View Overlook Boundary Fence</t>
  </si>
  <si>
    <t>Removal and Reconstruction of ecology plot fences</t>
  </si>
  <si>
    <t>Low</t>
  </si>
  <si>
    <t>Includes removal of burnded fence, material, and reconstruction of new fence.  Would consider a partial funding to just remove the fence and not reconstruct</t>
  </si>
  <si>
    <t>Range</t>
  </si>
  <si>
    <t>50/50 cost share of materail and labor for fence reconstruction</t>
  </si>
  <si>
    <t>High</t>
  </si>
  <si>
    <t xml:space="preserve">Material is about 20% of reconstruction cost.  Labor is about 80% of reconstruction cost.  50/50 cost share is $210,000.  requested funds are for material and labor upto 50% of anticipated cost.  </t>
  </si>
  <si>
    <t>Rec Facilities</t>
  </si>
  <si>
    <t>Burned Buildings Clean-up High</t>
  </si>
  <si>
    <t>Ea</t>
  </si>
  <si>
    <t>Dorrance and Marks</t>
  </si>
  <si>
    <t>Burned Buildings Clean-up Low</t>
  </si>
  <si>
    <t>Schaeffer and Granny View</t>
  </si>
  <si>
    <t>Double Creek Rec Site Repairs</t>
  </si>
  <si>
    <t>See Activity Tab</t>
  </si>
  <si>
    <t>Signs</t>
  </si>
  <si>
    <t>Double Creek Sign Replacement</t>
  </si>
  <si>
    <t>Nebo Sign Replacement</t>
  </si>
  <si>
    <t>Nebo</t>
  </si>
  <si>
    <t>Sturgill Sign Replacement</t>
  </si>
  <si>
    <t>Sturgill</t>
  </si>
  <si>
    <t>Trails</t>
  </si>
  <si>
    <t>Double Creek Trail Damage Repair</t>
  </si>
  <si>
    <t>mile</t>
  </si>
  <si>
    <t>Double Creek Boardwalk Reconstruction</t>
  </si>
  <si>
    <t>Nebo Trail Damage Repair</t>
  </si>
  <si>
    <t>Nebo Trail Bridges Reconstruction</t>
  </si>
  <si>
    <t>Sturgill Trail Damage Repair</t>
  </si>
  <si>
    <t>Category 2 - Lands Unlikely to Recover Naturally</t>
  </si>
  <si>
    <t>Invasive Plant Treatments</t>
  </si>
  <si>
    <t>Protection Area Invasive Plant Treatments</t>
  </si>
  <si>
    <t>Acres</t>
  </si>
  <si>
    <t>Previously funded by BAER: 10% of survey acres resulting in treatments - (outyear treatments)</t>
  </si>
  <si>
    <t>Suppression Disturbance Invasive Plant Treatments</t>
  </si>
  <si>
    <t>Previously funded by BAER: 10% of survey acres (EDRR treatments) from BAER request, buffered at 100ft.</t>
  </si>
  <si>
    <t>New request - not covered in BAER (Outyear treatments requested for 3 seasons)</t>
  </si>
  <si>
    <t>Sturgil</t>
  </si>
  <si>
    <t>Revegetation</t>
  </si>
  <si>
    <t>Protection Area Preventative Native Seeding</t>
  </si>
  <si>
    <t>Includes native seed purchase + application.  (7 acres previously funded by BAER in TES site)</t>
  </si>
  <si>
    <t>Suppression Disturbance Preventative Native Seeding</t>
  </si>
  <si>
    <t>New request - not covered in BAER (Seeding will occur after all treatments completed)</t>
  </si>
  <si>
    <t>Activity Information Template</t>
  </si>
  <si>
    <t>Category:</t>
  </si>
  <si>
    <t>Project Type:</t>
  </si>
  <si>
    <t>Activity Name:</t>
  </si>
  <si>
    <t>Allotment and pasture boundary fence reconstruction labor</t>
  </si>
  <si>
    <t>Describe the fire damage and how the project is addressing that specific damage:</t>
  </si>
  <si>
    <t xml:space="preserve">Becuase of the shallow soil, rock outcrops, and availability of wood for constructing fences many fences here are constructed with rock crib corners, rock jack line posts and wood stays to hold the wire spacing.  All of this wood material is burned during fires.  When the wood burns it weekens the wire adn burns the galvanization off leading to rusty weakened wire that breaks when stretched.  We have proposed to replace the corner post, h braces, and gate post with approximately 3 inch metal post that have similar sized metal braces and to replace the wood fence stays with t post as these are nearly permanent structures that do not burn and descrease the maintenance and reconstruction effort once installed.  </t>
  </si>
  <si>
    <t>How does the project meet the category specific requirements for funding?
Activity type requirements are found in the guidance document.</t>
  </si>
  <si>
    <t>The category is minor facilities and infrastructure damaged or destroyed by the fire and the project type is structural range improvements.  The affected Permittees are in good standing, do not have permit violations, and have previously maintained and reconstructed pasture and allotment boundary fences.  The proposed fences for reconstructed were maintained to a satisfactory condition prior to being damaged or destroyed by the fire.  The fences proposed for reconstruction are necessary for managing the livestock within the allotments and pastures to meet desired conditions as described in the Forest Plan, NEPA, and consultation for ESA species and within the terns of grazing permits.  This proposal is for the Forest Service to procure the material and the Permitee to provide the laber.  Becuase of the difference in the cost of material vs labor this is a cost share of about 20% Forest Service and 80% Permittee.</t>
  </si>
  <si>
    <t>Design/construction specs:</t>
  </si>
  <si>
    <t xml:space="preserve">3 or 4 barbed wire fence with the number of wires indicated by the location and amount of cattle pressure the fence recieves.  Wires spaced with the top wire at 38 to 42 inches from the high side, next wire down 10 to 12 inches from the top wire.  Bottom wire 16 to 18 inches from the ground and if a 4 th wire then evenly spaced between bottom and 3rd wire from bottom.  T post at about 13 foot intervals with the post moved closer if necessary.  May be necessary to drill and pilot hole and then drive the t post into rock upto or beyond the spade.  Wires are attached to t post using wire or t post clips.  2 7/8 metal posts can be driven with a heavy driver or a pilot hole drilled and the post driven with a heavy driver.  These post should be braced in one direction if an end post or in two directions if fence is constructed in two direction.  Brace may be welded or mechanically fastened to post about the location of the middle wires and be dug into or concreted into rock for solid support of the post.  Fences are constructed in 1/4 mile or less sections with corner post at ends, corners, major elevation changes or inflection points.  </t>
  </si>
  <si>
    <t>For Category 2 projects, please list the priority concerns the project is able to address. The list of priority concerns is found in the guidance document.</t>
  </si>
  <si>
    <t>Project Estimates (add lines if needed):</t>
  </si>
  <si>
    <t>Item</t>
  </si>
  <si>
    <t>Cost/unit</t>
  </si>
  <si>
    <t>Units needed</t>
  </si>
  <si>
    <t>Cost</t>
  </si>
  <si>
    <t>labor for reconstruction</t>
  </si>
  <si>
    <t>studded t post 5.5ft by 1.33lbs ft painted with anchor and fasteners</t>
  </si>
  <si>
    <t>12.5 ga double strand galvanized barb wire 1250 feet by 72lbs per roll with barbs about each 4 inches</t>
  </si>
  <si>
    <t>12.5 gauge double strand twisted Smooth wire</t>
  </si>
  <si>
    <t>7ft x 2 7/8 hvy wall steel pipe, 7 ft x 2 3/8 hvy wall steel pipe, 1 joint</t>
  </si>
  <si>
    <t>7ft x 2 7/8 hvy wall steel pipe, 2 x  7 ft x 2 3/8 hvy wall steel pipe, 2 joints</t>
  </si>
  <si>
    <t>Total funding requested:</t>
  </si>
  <si>
    <t>Reconstruction of recreation facility boundary fence</t>
  </si>
  <si>
    <t>Ecology Plot fence remove and reconstrcut</t>
  </si>
  <si>
    <t xml:space="preserve">The ecology plots are fenced with 8 feet tall fences that have wood posts.  These posts have burned and the fence has fallen down.  The wire is galvanized.  The fire burns the garvanizing off the wire to allow the wire to rust and break during maintenance.  We propose to reconstructe the fence with metal posts that are not affected by most fires and replace the wire.  </t>
  </si>
  <si>
    <t xml:space="preserve">The category is minor facilities and infrastructure.  The infrastructure is fencing to exclude all large animals that eat grass, cows that eat grass and a no fence portaion that allows use from all animals.  This is non range fence becuase the ecology plots support the wildlife, soil, timber, ecology, and range programs.  </t>
  </si>
  <si>
    <t xml:space="preserve">The wildlife enclosures are 4 sides each 200 feet long and 8 feet tall.  The wire is game/wildlife/field fence that does not allow deer, elk, sheep, goats, and cows  to enter.  There are double h braces at each corner and an h brace at the gate.   Posts are each 8 feet alternatning t post or previously wood 8 inch posts.  The wood 8 inch posts can be replaced by oilfield pipe posts that will not be affected by most fires.  The enclosure that does not allow cattle is 400 feet on each side with double h braces at the corners and an H brace at the gate.  The wire is 4 strand high tensile smooth wire.  </t>
  </si>
  <si>
    <t>material</t>
  </si>
  <si>
    <t>construction</t>
  </si>
  <si>
    <t>removal of burned fence</t>
  </si>
  <si>
    <t>50/50 cost share of matereal and labor for fence reconstruction</t>
  </si>
  <si>
    <t xml:space="preserve">The category is minor facilities and infrastructure damaged or destroyed by the fire and the project type is structural range improvements.  The affected Permittees are in good standing, do not have permit violations, and have previously maintained and reconstructed pasture and allotment boundary fences.  The proposed fences for reconstructed were maintained to a satisfactory condition prior to being damaged or destroyed by the fire.  The fences proposed for reconstruction are necessary for managing the livestock within the allotments and pastures to meet desired conditions as described in the Forest Plan, NEPA, and consultation for ESA species and within the terns of grazing permits.  This proposal is for the Forest Service to procure the material and the Permitee to provide the laber.  Becuase of the difference in the cost of material vs labor this is a cost share of about 20% Forest Service and 80% Permittee.  This proposal is for 50% cost share of the Forest Service and the Permitee.  The Forest Service would procure the material, install the end posts, corner post, and post with double braces adn then install wires until funds are expended.  </t>
  </si>
  <si>
    <t>reconstruction effor/labor</t>
  </si>
  <si>
    <t>Burned Recreation Buildings and Site Cleaup</t>
  </si>
  <si>
    <t>Within the Double Creek Fire area, the Forest had four recreation program support buildings destroyed by wildfire.   These buildings were located at the Dorrance Ranch site and Marks Cabin site.  The intent of this project is to cleanup and remove the unburned building components and contents.  The sites are very remote with only motorized trail access to the Dorrance site, and non-motorized trail access to the Marks site.  Thus, it is anticipated that the majority of the materials will have to be removed via helicopter sling loads.</t>
  </si>
  <si>
    <t>These remote buildings were used by trail maintenance crews in support of the Forest Recreation Program.  There is no intent or desire to reconstruct these buildings.  The sites of these buildings are close to the Hells Canyon Wilderness boundary.  By cleaning up these sites and removing the debris, the potential for some of it (i.e. metal roofing panels) to migrate into the established wilderness area will be eliminated.</t>
  </si>
  <si>
    <t>Site cleanup with proper disposal and recycling of destroyed building materials and contents.</t>
  </si>
  <si>
    <t>Dorrance Site Buildings</t>
  </si>
  <si>
    <t>Marks Site Building</t>
  </si>
  <si>
    <t>HABS survey for Sec 106 clearance</t>
  </si>
  <si>
    <t>Within the Double Creek Fire area, the Forest had four recreation program support buildings destroyed by wildfire.   These buildings were located at the Schaefer site and Granny View site.  The intent of this project is to cleanup and remove the unburned building components and contents.  The sites are very remote with only motorized trail access to the Dorrance site, and non-motorized trail access to the Marks site.  Thus, it is anticipated that the majority of the materials will have to be removed via helicopter sling loads.</t>
  </si>
  <si>
    <t>These remote buildings have not been occupied or used for several years.  There is no intent or desire to reconstruct these buildings.  The sites of these buildings are close to the Hells Canyon Wilderness boundary.  By cleaning up these sites and removing the debris, the potential for some of it (i.e. metal roofing panels) to migrate into the established wilderness area will be eliminated.</t>
  </si>
  <si>
    <t>Schaeffer Site Building</t>
  </si>
  <si>
    <t>Granny View Site Building</t>
  </si>
  <si>
    <t>The fire burned recreation site infrastructure at 5 sites including Granny View Overlook, Horse Creek Overlook, Five Mile Viewpoint, Freezeout Trailhead &amp; the Pittsburg rec site.  Damage includes 6 interpretive panels and sign bases, 8 benches, 2 water systems (springs boxes &amp; distribution lines) and 2 toilet vent pipes.  This project will repair and replace damaged and destroyed items using sustainable recreation site design principles and fire-wise materials where appropriate.</t>
  </si>
  <si>
    <t>All five sites and damaged/destroyed intrastructure were in place and operational pre-fire.  Horse Creek Viewpoint &amp; Five Mile Overlook are Class 2 on the development scale.  Granny View, Freezeout and Pittsburg are Class 3 with treatments restricted to minor features.</t>
  </si>
  <si>
    <t>Design/specs will utilize best practices from the Sustainable Recreation Site Design Guide, as well as engineered specifications from the Forest Facilities Engineer for water system repair.  Fire-wise materials incorporated into the infrastructure replacements will be specified for all new materials incorporated into the repairs and replacements.</t>
  </si>
  <si>
    <t>Interpretive Panels &amp; kiosks</t>
  </si>
  <si>
    <t>Benches</t>
  </si>
  <si>
    <t>Toilet vent Pipe</t>
  </si>
  <si>
    <t>2" Water Pipe</t>
  </si>
  <si>
    <t>Spring Box</t>
  </si>
  <si>
    <t>Water Pipe Couplers</t>
  </si>
  <si>
    <t>Water Pipe Clamps</t>
  </si>
  <si>
    <t>Water System Installation</t>
  </si>
  <si>
    <t>Section 106 consultation effort for bridge construction, recreation site reconstruction, water systems, range water developments etc.</t>
  </si>
  <si>
    <t>Double Creek Signs</t>
  </si>
  <si>
    <t>The fire burned over 149 trail signs and 2 Developed Recreation site entrance signs, resulting in a significant loss of signs.  Large entrance signs and bases at both rec sites were confirmed as destroyed.  117 routed oak trail signs have been identified as fire-damaged based on an analysis of the number of signs located in fire areas with 50% basal area timber stand mortality, moderate to high burn severity &amp; initial observations/reports. This project will replace all damaged signs to standard.</t>
  </si>
  <si>
    <t>Signs/markers were in place, operational and met sign/marker standards prefire.</t>
  </si>
  <si>
    <t>Replacement signs will meet current sign standards and use fire-wise materials for bases where appropriate.  Signs installation is anticipated using contracted services.</t>
  </si>
  <si>
    <t>Developed Rec Site Signs &amp; Bases</t>
  </si>
  <si>
    <t>Trail sign</t>
  </si>
  <si>
    <t>Trail sign post</t>
  </si>
  <si>
    <t>Trail sign hardware</t>
  </si>
  <si>
    <t>Trail sign installation</t>
  </si>
  <si>
    <t>Nebo Trail Signs</t>
  </si>
  <si>
    <t>The fire perimeter included 6 trail signs.  All 6 routed oak trail signs have been identified as fire-damaged based on an analysis of the number of signs located in fire areas with 50% basal area timber stand mortality, moderate to high burn severity &amp; initial observations/reports. This project will replace all damaged signs to standard.</t>
  </si>
  <si>
    <t>Sturgill Trail Signs</t>
  </si>
  <si>
    <t>The fire perimeter included 8 trail signs.  All 8 routed oak trail signs have been identified as fire-damaged based on an analysis of the number of signs located in fire areas with 50% basal area timber stand mortality, moderate to high burn severity &amp; initial observations/reports. This project will replace all damaged signs to standard.</t>
  </si>
  <si>
    <t>Double Creek Trail Repair</t>
  </si>
  <si>
    <t>The fire perimeter includes over 278 miles of system trail.  108 miles of trail have been identified as fire-damaged based on an analysis of the number miles located in fire areas with &gt;75% basal area timber stand mortality, moderate to high burn severity &amp; initial observations/reports.  Fire-damaged trail tread from burned stumps/tree roots have created very hazardous footing for hikers and stock.  Fire damage also includes significant additional logout in some portions of fire area due to fire-weakened trees. Additionally, minor trail features such as drainage structures have been compromised by fire.   This project will repair tread where burned out, remove burned brush and debris from trail tread, repair/clean fire-damaged features,  and remove fire damaged trees from trail.</t>
  </si>
  <si>
    <t>All trail features were in place and operational pre-fire.  Replacement/repair of features are limited to Class 2-3 trails and work would be consistent with Standard
Trail Plans and Specification.  Replacement/repair would be limited to infrastructure defined as
Minor Trail Bridge, or Trail Structure.</t>
  </si>
  <si>
    <t>Restore trails to pre-fire Class 2-3 maintenance specs.  Includes tread, drainage structure, &amp; logout specifications</t>
  </si>
  <si>
    <t>Trail repair</t>
  </si>
  <si>
    <t>Double Creek Trail Boardwalk Reconstruction</t>
  </si>
  <si>
    <t>The fire entirely burned two elevated boardwalks on the trail loop at Granny View Overlook.  The West structure had a full-length railing and was 85' long and 5' wide, with a 14'x10' viewing platform in the middle.  The North structure was 40' long and 5' wide with a single railing.  This project will replace these structures using fire-wise materials and remove the debris from the burned structures.</t>
  </si>
  <si>
    <t>These structures were in place and operational pre-fire (see photos).  They're located along a Class 4 trail and management has occurred at designated frequencies.  Replacement would be consistent with Standard Trail Plans and Specifications and replacement would be restricted to Other Engineered Trail Structure.</t>
  </si>
  <si>
    <t xml:space="preserve"> Reconstruct to same size &amp; location per engineered design using fire-wise materials for sub-structures to minimize effects from future fire and reduce long-term maintenance.  Retain existing asphalt trail surface.</t>
  </si>
  <si>
    <t>N/A</t>
  </si>
  <si>
    <t>North Boardwalk</t>
  </si>
  <si>
    <t>West Boardwalk</t>
  </si>
  <si>
    <t>Debris Removal</t>
  </si>
  <si>
    <t>Nebo Trail Repair</t>
  </si>
  <si>
    <t xml:space="preserve">The fire perimeter includes over 18 miles of system trail.  4 miles of trail have been identified as fire-damaged based on an analysis of the number miles located in fire areas with &gt;75% basal area timber stand mortality, moderate to high burn severity &amp; initial observations/reports.  Fire-damaged trail tread from burned stumps/tree roots have created very hazardous footing for hikers and stock.  Fire damage also includes significant additional logout in some portions of fire area due to fire-weakened trees. Additionally, minor trail features such as drainage structures have been compromised by fire.   This project will repair tread where burned out, remove burned brush and debris from trail tread, repair/clean fire-damaged features,  and remove fire damaged trees from trail. Trail repair in Nebo is higher than Double Creek because of distance to sites in the wilderness. Trails that are opened already may still take take a full day to get to each individual site. Likely some trail work would have to be performed to establish access, though its likely less than Sturgil and more than Double Creek. </t>
  </si>
  <si>
    <t>The Fire severely burned timbered basins upslope of two trail bridges along the Tenderfoot Wagon Road Trail #1819.  A significant rain event during the fire caused debris flows that washed out the bridges.  Both trail bridges were wood structures designed for pack &amp; saddle use and were 7' wide.  One bridge was 24' long and the other 18' long.This project will replace both bridges using fire-wise materials and remove debris from demolished bridges.</t>
  </si>
  <si>
    <t>These structures were in place and operational pre-fire (see photos).  They're located along a Class 3 trail and maintenance has exceeded designated frequencies (performed annually by the Wallowa Mountains Ski Club).  Replacement would be consistent with Standard Trail Plans and Specifications and replacement would be restricted to Other Engineered Trail Structures.</t>
  </si>
  <si>
    <t>Per engineered design: steel girder sub-structure (12X19 WF) and sills; curbs w/no railings; snowload:  181 psf; 1.75 X 181 = 317 psf; material transport by ATV; unit cost based on recent TB construction.</t>
  </si>
  <si>
    <t>Trail Bridge #3</t>
  </si>
  <si>
    <t>Trail Bridge #2</t>
  </si>
  <si>
    <t>Removal of damaged structure</t>
  </si>
  <si>
    <t>Sturgill Trail Repair</t>
  </si>
  <si>
    <t>The fire perimeter includes over 36 miles of system trail.  3 miles of trail have been identified as fire-damaged based on an analysis of the number miles located in fire areas with &gt;75% basal area timber stand mortality, moderate to high burn severity &amp; initial observations/reports.  Fire-damaged trail tread from burned stumps/tree roots have created very hazardous footing for hikers and stock.  Fire damage also includes significant additional logout in some portions of fire area due to fire-weakened trees. Additionally, minor trail features such as drainage structures have been compromised by fire.   This project will repair tread where burned out, remove burned brush and debris from trail tread, repair/clean fire-damaged features,  and remove fire damaged trees from trail. Cost for Sturgil trail repair is different for the other fires because the work is more spread out and takes much longer to get out there.  For instance if the trails are opened already it would still take a full day to get to each individual site. likely some trail work would have to be performed to establish access.</t>
  </si>
  <si>
    <t>Fire creates conditions favorable for the invasion of invasive plants.  In areas where vegetation mortality is greater than 50%, it is unlikely the native vegetation will re-establish and outcompete invasive plants.  Outyear invasive plant monitoring and treatments will foster the recovery of these native plant communities while minimizing the invasion potential into their habitat.</t>
  </si>
  <si>
    <t>The Wallowa Whitman National Forest will be following the WAW Invasive Plant Treatment Project that tiers to the R6 FEIS and R6 ROD that tiers to FSM 2900.  Project Design Features are in place to eliminate or minimize the effects of invasive plant treatments on human health and natural resources. The PDFs allow the treatment of existing and new (EDRR) sites and species in accordance with R6 ROD Standards 19 and 20.</t>
  </si>
  <si>
    <t xml:space="preserve">Utilize current IDIQ contract and partnership agreements to treat invasive plants </t>
  </si>
  <si>
    <t>• Continuation of post-fire investments made through BAER
• Designated T&amp;E critical habitat or occupied habitat for T&amp;E, Proposed, or Candidate species
• Small-scale ecosystems or rare plant communities
• Benefits pollinators and pollinator habitat
• Regional Forester sensitive species, species of conservation concern, or other habitat of importance</t>
  </si>
  <si>
    <t>Invasive Plant treatments in Protection areas (Bunchgrass/TESP) YEAR 2</t>
  </si>
  <si>
    <t>Invasive Plant treatments in Protection areas (Bunchgrass/TESP) YEAR 3</t>
  </si>
  <si>
    <t>Suppression and Disturbance Invasive Plant Treatments Double Creek</t>
  </si>
  <si>
    <t>The spread of invasive plants is a significant issue in projects that involve ground disturbance. Earth moving activities, in this case, dozer lines and hand lines can contribute to the spread of weeds.  Material has the potential to move off site on equipment, disrupt the weed seed bed that was once covered by soil, and expose the ground for the invasion of weeds.  The proximity and existence of already identified noxious weed species sites will increase the risk of further establishment.  Due to rapid growth rates, high seed production, and extended growing periods of noxious weeds, ground disturbances created can easily be colonized by invasive plants.</t>
  </si>
  <si>
    <t>Invasive Plant EDRR treatment of all ground disturbing points and lines (YEAR 1)</t>
  </si>
  <si>
    <t>Invasive Plant EDRR treatment of all ground disturbing points and lines (YEAR 2)</t>
  </si>
  <si>
    <t>Suppression and Disturbance Invasive Plant Treatments Nebo</t>
  </si>
  <si>
    <t>The spread of invasive plants is a significant issue in projects that involve ground disturbance. Earth moving activities, in this case, Dozer lines and hand lines can contribute to the spread of weeds.  Material has the potential to move off site on equipment, disrupt the weed seed bed that was once covered by soil, and expose the ground for the invasion of weeds.  The proximity and existence of already identified noxious weed species sites will increase the risk of further establishment.  Due to rapid growth rates, high seed production, and extended growing periods of noxious weeds, ground disturbances created can easily be colonized by invasive plants.</t>
  </si>
  <si>
    <t>Invasive Plant EDRR treatment of all ground disturbing points and lines (YEAR 3)</t>
  </si>
  <si>
    <t>Suppression and Disturbance Invasive Plant Treatments Sturgil</t>
  </si>
  <si>
    <t>Double Creek Preventative Native Seeding</t>
  </si>
  <si>
    <r>
      <t>Fire creates conditions favorable for the invasion of invasive plants.  In sensitive plant areas where vegetation mortality is greater than 75%, it is unlikely the native vegetation will re-establish and outcompete invasive plants.  Native seeding will increase the density of native bunchgrass and help foster the recovery of these native plant communities while minimizing the invasion potential into their habitat.  Suppression activities have created conditions favorable to invasive plant invasion.  Vegetation will be re-e</t>
    </r>
    <r>
      <rPr>
        <b/>
        <sz val="11"/>
        <rFont val="Calibri"/>
        <family val="2"/>
      </rPr>
      <t>stablished on all bare ground and treated acres in sensitive plant areas to minimize weed spread and establishment.</t>
    </r>
  </si>
  <si>
    <t>The Pacific NW R6 ROD decision adds invasive plant management direction to all National Forest Land and Resource Management Plans in the Pacific Northwest Region (Region Six). The management direction includes invasive plant prevention and treatment/restoration standards intended to help achieve stated desired future conditions, goals and objectives.   Treatment Restoration standards are in place for this proposed activity, specifically Standard 13, where native plant materials will be used for seeding.</t>
  </si>
  <si>
    <t>Recommended seeding rates at 20lbs per acre.  Native seed is available from BFI.  Species used will be bluebunch wheatgrass, Idaho fescue, prairie junegrass, and sandberg's bluegrass.  Work will be contracted out, utilizing current IDIQ contract and partnership agreements.</t>
  </si>
  <si>
    <t>• Continuation of post-fire investments made through BAER
• Designated T&amp;E critical habitat or occupied habitat for T&amp;E, Proposed, or Candidate species
• Small-scale ecosystems or rare plant communities
• Benefits pollinators and pollinator habitat
• Regional Forester sensitive species, species of conservation concern, or other habitat of importance
• Area of past restoration investment (i.e. floodplain restoration or habitat restoration efforts)
• Provides value to multiple partners and stakeholder interest groups, especially tribes, minority, low income</t>
  </si>
  <si>
    <t>Double Creek Protection Areas Native Seeding</t>
  </si>
  <si>
    <t>Double Creek Suppression Disturbance Native Seeding</t>
  </si>
  <si>
    <t>Nebo Fire Preventative Native Seeding</t>
  </si>
  <si>
    <r>
      <t>Fire creates conditions favorable for the invasion of invasive plants. Native seeding will increase ground cover and help foster the recovery of native plant species while minimizing the invasion potential into their habitat.  Suppression activities have created conditions favorable to invasive plant invasion.  Vegetation will be re-e</t>
    </r>
    <r>
      <rPr>
        <b/>
        <sz val="11"/>
        <rFont val="Calibri"/>
        <family val="2"/>
      </rPr>
      <t xml:space="preserve">stablished on all bare ground and disturbances resulting from suppression activities. </t>
    </r>
  </si>
  <si>
    <t>Nebo Suppression Disturbance Native Seeding</t>
  </si>
  <si>
    <t>Sturgil Fire Preventative Native Seeding</t>
  </si>
  <si>
    <t>Sturgil Suppression Disturbance Native Seeding</t>
  </si>
  <si>
    <t>Repair</t>
  </si>
  <si>
    <t>Landline Boundary</t>
  </si>
  <si>
    <t>Replace</t>
  </si>
  <si>
    <t>Gates</t>
  </si>
  <si>
    <t>New</t>
  </si>
  <si>
    <t>Roads</t>
  </si>
  <si>
    <t>Wildlife/Fisheries</t>
  </si>
  <si>
    <t>Other Minor Facilities</t>
  </si>
  <si>
    <t>Reforestation</t>
  </si>
  <si>
    <t>Sum of Funds Requested</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</si>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</sst>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44" formatCode="_(&quot;$&quot;* #,##0.00_);_(&quot;$&quot;* \(#,##0.00\);_(&quot;$&quot;* &quot;-&quot;??_);_(@_)"/>
    <numFmt numFmtId="164" formatCode="_(* #,##0_);_(* \(#,##0\);_(* &quot;-&quot;??_);_(@_)"/>
  </numFmts>
  <fonts count="22"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
      <b/>
      <sz val="12"/>
      <color rgb="FF000000"/>
      <name val="Calibri"/>
      <family val="2"/>
      <scheme val="minor"/>
    </font>
    <font>
      <sz val="11"/>
      <name val="Calibri"/>
      <family val="2"/>
    </font>
    <font>
      <sz val="11"/>
      <color indexed="8"/>
      <name val="Calibri"/>
      <family val="2"/>
      <scheme val="minor"/>
    </font>
    <font>
      <b/>
      <sz val="11"/>
      <color rgb="FF000000"/>
      <name val="Calibri"/>
      <family val="2"/>
      <scheme val="minor"/>
    </font>
    <font>
      <sz val="11"/>
      <color rgb="FF000000"/>
      <name val="Calibri"/>
      <family val="2"/>
      <scheme val="minor"/>
    </font>
    <font>
      <b/>
      <sz val="18"/>
      <color rgb="FF000000"/>
      <name val="Calibri"/>
      <family val="2"/>
      <scheme val="minor"/>
    </font>
    <font>
      <b/>
      <sz val="14"/>
      <color rgb="FF000000"/>
      <name val="Calibri"/>
      <family val="2"/>
      <scheme val="minor"/>
    </font>
    <font>
      <sz val="14"/>
      <color rgb="FF000000"/>
      <name val="Calibri"/>
      <family val="2"/>
      <scheme val="minor"/>
    </font>
    <font>
      <sz val="12"/>
      <color rgb="FF000000"/>
      <name val="Calibri"/>
      <family val="2"/>
      <scheme val="minor"/>
    </font>
    <font>
      <sz val="10"/>
      <color rgb="FF000000"/>
      <name val="Calibri"/>
      <family val="2"/>
      <scheme val="minor"/>
    </font>
    <font>
      <sz val="14"/>
      <color rgb="FFFF0000"/>
      <name val="Calibri"/>
      <family val="2"/>
      <scheme val="minor"/>
    </font>
    <font>
      <b/>
      <sz val="11"/>
      <color rgb="FF000000"/>
      <name val="Calibri"/>
      <family val="2"/>
    </font>
    <font>
      <b/>
      <sz val="12"/>
      <color rgb="FF000000"/>
      <name val="Calibri"/>
      <family val="2"/>
    </font>
    <font>
      <sz val="11"/>
      <color rgb="FF000000"/>
      <name val="Calibri"/>
      <family val="2"/>
    </font>
    <font>
      <b/>
      <sz val="11"/>
      <name val="Calibri"/>
      <family val="2"/>
    </font>
    <font>
      <sz val="11"/>
      <color rgb="FFFF0000"/>
      <name val="Calibri"/>
      <family val="2"/>
    </font>
    <font>
      <sz val="11"/>
      <color rgb="FF444444"/>
      <name val="Calibri"/>
      <family val="2"/>
      <charset val="1"/>
    </font>
  </fonts>
  <fills count="8">
    <fill>
      <patternFill patternType="none"/>
    </fill>
    <fill>
      <patternFill patternType="gray125"/>
    </fill>
    <fill>
      <patternFill patternType="solid">
        <fgColor rgb="FFE7E6E6"/>
        <bgColor rgb="FF000000"/>
      </patternFill>
    </fill>
    <fill>
      <patternFill patternType="solid">
        <fgColor theme="2" tint="-9.9978637043366805E-2"/>
        <bgColor rgb="FF000000"/>
      </patternFill>
    </fill>
    <fill>
      <patternFill patternType="solid">
        <fgColor theme="2" tint="-9.9978637043366805E-2"/>
        <bgColor indexed="64"/>
      </patternFill>
    </fill>
    <fill>
      <patternFill patternType="solid">
        <fgColor theme="0"/>
        <bgColor indexed="64"/>
      </patternFill>
    </fill>
    <fill>
      <patternFill patternType="solid">
        <fgColor theme="0"/>
        <bgColor rgb="FF000000"/>
      </patternFill>
    </fill>
    <fill>
      <patternFill patternType="solid">
        <fgColor rgb="FFFFFF00"/>
        <bgColor indexed="64"/>
      </patternFill>
    </fill>
  </fills>
  <borders count="26">
    <border>
      <left/>
      <right/>
      <top/>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top/>
      <bottom style="thin">
        <color indexed="64"/>
      </bottom>
      <diagonal/>
    </border>
    <border>
      <left/>
      <right style="thin">
        <color indexed="64"/>
      </right>
      <top/>
      <bottom style="thin">
        <color indexed="64"/>
      </bottom>
      <diagonal/>
    </border>
    <border>
      <left style="dotted">
        <color rgb="FF000000"/>
      </left>
      <right style="dotted">
        <color rgb="FF000000"/>
      </right>
      <top style="dotted">
        <color rgb="FF000000"/>
      </top>
      <bottom style="dotted">
        <color rgb="FF000000"/>
      </bottom>
      <diagonal/>
    </border>
    <border>
      <left/>
      <right style="thin">
        <color rgb="FF000000"/>
      </right>
      <top style="thin">
        <color indexed="64"/>
      </top>
      <bottom style="thin">
        <color indexed="64"/>
      </bottom>
      <diagonal/>
    </border>
    <border>
      <left/>
      <right style="medium">
        <color indexed="64"/>
      </right>
      <top/>
      <bottom style="thin">
        <color indexed="64"/>
      </bottom>
      <diagonal/>
    </border>
    <border>
      <left/>
      <right style="thin">
        <color indexed="64"/>
      </right>
      <top style="thin">
        <color indexed="64"/>
      </top>
      <bottom/>
      <diagonal/>
    </border>
  </borders>
  <cellStyleXfs count="5">
    <xf numFmtId="0" fontId="0" fillId="0" borderId="0"/>
    <xf numFmtId="44" fontId="1" fillId="0" borderId="0" applyFont="0" applyFill="0" applyBorder="0" applyAlignment="0" applyProtection="0"/>
    <xf numFmtId="0" fontId="3" fillId="0" borderId="0" applyNumberFormat="0" applyFill="0" applyBorder="0" applyAlignment="0" applyProtection="0"/>
    <xf numFmtId="0" fontId="7" fillId="0" borderId="0"/>
    <xf numFmtId="9" fontId="1" fillId="0" borderId="0" applyFont="0" applyFill="0" applyBorder="0" applyAlignment="0" applyProtection="0"/>
  </cellStyleXfs>
  <cellXfs count="180">
    <xf numFmtId="0" fontId="0" fillId="0" borderId="0" xfId="0"/>
    <xf numFmtId="0" fontId="0" fillId="0" borderId="0" xfId="0" applyAlignment="1">
      <alignment wrapText="1"/>
    </xf>
    <xf numFmtId="0" fontId="9" fillId="0" borderId="0" xfId="0" applyFont="1" applyAlignment="1">
      <alignment horizontal="left"/>
    </xf>
    <xf numFmtId="0" fontId="8" fillId="0" borderId="0" xfId="0" applyFont="1" applyAlignment="1">
      <alignment wrapText="1"/>
    </xf>
    <xf numFmtId="0" fontId="11" fillId="2" borderId="16" xfId="0" applyFont="1" applyFill="1" applyBorder="1"/>
    <xf numFmtId="44" fontId="8" fillId="2" borderId="1" xfId="0" applyNumberFormat="1" applyFont="1" applyFill="1" applyBorder="1"/>
    <xf numFmtId="44" fontId="4" fillId="0" borderId="5" xfId="0" applyNumberFormat="1" applyFont="1" applyBorder="1"/>
    <xf numFmtId="0" fontId="2" fillId="0" borderId="0" xfId="0" applyFont="1" applyAlignment="1">
      <alignment horizontal="right"/>
    </xf>
    <xf numFmtId="0" fontId="0" fillId="0" borderId="0" xfId="0" applyAlignment="1">
      <alignment vertical="top"/>
    </xf>
    <xf numFmtId="9" fontId="0" fillId="0" borderId="0" xfId="4" applyFont="1"/>
    <xf numFmtId="44" fontId="0" fillId="0" borderId="0" xfId="0" applyNumberFormat="1"/>
    <xf numFmtId="9" fontId="0" fillId="0" borderId="0" xfId="0" applyNumberFormat="1"/>
    <xf numFmtId="0" fontId="4" fillId="0" borderId="9" xfId="0" applyFont="1" applyBorder="1"/>
    <xf numFmtId="44" fontId="4" fillId="0" borderId="8" xfId="0" applyNumberFormat="1" applyFont="1" applyBorder="1"/>
    <xf numFmtId="1" fontId="4" fillId="0" borderId="8" xfId="3" applyNumberFormat="1" applyFont="1" applyBorder="1"/>
    <xf numFmtId="1" fontId="4" fillId="0" borderId="6" xfId="3" applyNumberFormat="1" applyFont="1" applyBorder="1"/>
    <xf numFmtId="1" fontId="4" fillId="0" borderId="6" xfId="0" applyNumberFormat="1" applyFont="1" applyBorder="1"/>
    <xf numFmtId="44" fontId="2" fillId="0" borderId="0" xfId="0" applyNumberFormat="1" applyFont="1" applyAlignment="1">
      <alignment horizontal="right"/>
    </xf>
    <xf numFmtId="0" fontId="10" fillId="0" borderId="0" xfId="0" applyFont="1" applyAlignment="1">
      <alignment wrapText="1"/>
    </xf>
    <xf numFmtId="0" fontId="10" fillId="0" borderId="0" xfId="0" applyFont="1"/>
    <xf numFmtId="0" fontId="12" fillId="0" borderId="0" xfId="0" applyFont="1" applyAlignment="1">
      <alignment wrapText="1"/>
    </xf>
    <xf numFmtId="0" fontId="12" fillId="0" borderId="0" xfId="0" applyFont="1"/>
    <xf numFmtId="0" fontId="12" fillId="0" borderId="0" xfId="0" applyFont="1" applyAlignment="1">
      <alignment horizontal="left"/>
    </xf>
    <xf numFmtId="0" fontId="12" fillId="0" borderId="0" xfId="0" applyFont="1" applyAlignment="1">
      <alignment horizontal="left" wrapText="1"/>
    </xf>
    <xf numFmtId="0" fontId="0" fillId="0" borderId="0" xfId="0" applyAlignment="1">
      <alignment horizontal="right" wrapText="1"/>
    </xf>
    <xf numFmtId="44" fontId="14" fillId="0" borderId="0" xfId="0" applyNumberFormat="1" applyFont="1" applyAlignment="1">
      <alignment horizontal="center"/>
    </xf>
    <xf numFmtId="0" fontId="14" fillId="0" borderId="0" xfId="0" applyFont="1" applyAlignment="1">
      <alignment horizontal="left" wrapText="1"/>
    </xf>
    <xf numFmtId="0" fontId="8" fillId="2" borderId="11" xfId="0" applyFont="1" applyFill="1" applyBorder="1"/>
    <xf numFmtId="0" fontId="8" fillId="2" borderId="10" xfId="0" applyFont="1" applyFill="1" applyBorder="1"/>
    <xf numFmtId="0" fontId="8" fillId="0" borderId="6" xfId="0" applyFont="1" applyBorder="1"/>
    <xf numFmtId="44" fontId="8" fillId="2" borderId="12" xfId="0" applyNumberFormat="1" applyFont="1" applyFill="1" applyBorder="1"/>
    <xf numFmtId="0" fontId="8" fillId="0" borderId="7" xfId="0" applyFont="1" applyBorder="1"/>
    <xf numFmtId="0" fontId="2" fillId="0" borderId="0" xfId="0" applyFont="1" applyAlignment="1">
      <alignment horizontal="center" vertical="center" wrapText="1"/>
    </xf>
    <xf numFmtId="0" fontId="8" fillId="2" borderId="10" xfId="0" applyFont="1" applyFill="1" applyBorder="1" applyAlignment="1">
      <alignment horizontal="left" wrapText="1"/>
    </xf>
    <xf numFmtId="0" fontId="2" fillId="4" borderId="6" xfId="0" applyFont="1" applyFill="1" applyBorder="1" applyAlignment="1">
      <alignment horizontal="left" vertical="center" wrapText="1"/>
    </xf>
    <xf numFmtId="0" fontId="11" fillId="2" borderId="6" xfId="0" applyFont="1" applyFill="1" applyBorder="1"/>
    <xf numFmtId="0" fontId="11" fillId="2" borderId="6" xfId="0" applyFont="1" applyFill="1" applyBorder="1" applyAlignment="1">
      <alignment wrapText="1"/>
    </xf>
    <xf numFmtId="0" fontId="5" fillId="2" borderId="6" xfId="0" applyFont="1" applyFill="1" applyBorder="1" applyAlignment="1">
      <alignment horizontal="center" vertical="center" wrapText="1"/>
    </xf>
    <xf numFmtId="0" fontId="12" fillId="0" borderId="0" xfId="0" applyFont="1" applyAlignment="1">
      <alignment horizontal="center"/>
    </xf>
    <xf numFmtId="14" fontId="12" fillId="0" borderId="0" xfId="0" applyNumberFormat="1" applyFont="1" applyAlignment="1">
      <alignment horizontal="center"/>
    </xf>
    <xf numFmtId="14" fontId="12" fillId="0" borderId="0" xfId="0" applyNumberFormat="1" applyFont="1" applyAlignment="1">
      <alignment horizontal="left"/>
    </xf>
    <xf numFmtId="44" fontId="12" fillId="0" borderId="0" xfId="0" applyNumberFormat="1" applyFont="1" applyAlignment="1">
      <alignment horizontal="center"/>
    </xf>
    <xf numFmtId="0" fontId="10" fillId="0" borderId="0" xfId="0" applyFont="1" applyAlignment="1">
      <alignment horizontal="center"/>
    </xf>
    <xf numFmtId="0" fontId="15" fillId="0" borderId="0" xfId="0" applyFont="1" applyAlignment="1">
      <alignment horizontal="left"/>
    </xf>
    <xf numFmtId="0" fontId="0" fillId="0" borderId="0" xfId="0" applyAlignment="1">
      <alignment horizontal="center"/>
    </xf>
    <xf numFmtId="0" fontId="9" fillId="0" borderId="6" xfId="0" applyFont="1" applyBorder="1"/>
    <xf numFmtId="3" fontId="9" fillId="0" borderId="6" xfId="0" applyNumberFormat="1" applyFont="1" applyBorder="1"/>
    <xf numFmtId="0" fontId="5" fillId="3" borderId="10" xfId="0" applyFont="1" applyFill="1" applyBorder="1" applyAlignment="1">
      <alignment horizontal="center" vertical="center"/>
    </xf>
    <xf numFmtId="0" fontId="5" fillId="3" borderId="10" xfId="0" applyFont="1" applyFill="1" applyBorder="1" applyAlignment="1">
      <alignment horizontal="center" vertical="center" wrapText="1"/>
    </xf>
    <xf numFmtId="0" fontId="2" fillId="4" borderId="10" xfId="0" applyFont="1" applyFill="1" applyBorder="1" applyAlignment="1">
      <alignment horizontal="center" vertical="center" wrapText="1"/>
    </xf>
    <xf numFmtId="0" fontId="16" fillId="0" borderId="7" xfId="0" applyFont="1" applyBorder="1"/>
    <xf numFmtId="0" fontId="16" fillId="0" borderId="15" xfId="0" applyFont="1" applyBorder="1"/>
    <xf numFmtId="0" fontId="16" fillId="0" borderId="9" xfId="0" applyFont="1" applyBorder="1"/>
    <xf numFmtId="0" fontId="16" fillId="0" borderId="21" xfId="0" applyFont="1" applyBorder="1"/>
    <xf numFmtId="0" fontId="0" fillId="5" borderId="0" xfId="0" applyFill="1"/>
    <xf numFmtId="0" fontId="0" fillId="5" borderId="22" xfId="0" applyFill="1" applyBorder="1" applyAlignment="1">
      <alignment vertical="top"/>
    </xf>
    <xf numFmtId="0" fontId="9" fillId="6" borderId="22" xfId="0" applyFont="1" applyFill="1" applyBorder="1" applyAlignment="1">
      <alignment horizontal="right" vertical="center"/>
    </xf>
    <xf numFmtId="3" fontId="9" fillId="6" borderId="22" xfId="0" applyNumberFormat="1" applyFont="1" applyFill="1" applyBorder="1" applyAlignment="1">
      <alignment horizontal="right" vertical="center"/>
    </xf>
    <xf numFmtId="0" fontId="9" fillId="6" borderId="22" xfId="0" applyFont="1" applyFill="1" applyBorder="1" applyAlignment="1">
      <alignment horizontal="center" vertical="top"/>
    </xf>
    <xf numFmtId="0" fontId="0" fillId="0" borderId="22" xfId="0" applyBorder="1" applyAlignment="1">
      <alignment vertical="top"/>
    </xf>
    <xf numFmtId="0" fontId="0" fillId="0" borderId="22" xfId="0" applyBorder="1" applyAlignment="1">
      <alignment horizontal="center"/>
    </xf>
    <xf numFmtId="0" fontId="0" fillId="0" borderId="22" xfId="0" applyBorder="1" applyAlignment="1">
      <alignment vertical="top" wrapText="1"/>
    </xf>
    <xf numFmtId="0" fontId="7" fillId="0" borderId="22" xfId="3" applyBorder="1" applyAlignment="1">
      <alignment vertical="top" wrapText="1"/>
    </xf>
    <xf numFmtId="0" fontId="4" fillId="0" borderId="22" xfId="3" applyFont="1" applyBorder="1" applyAlignment="1">
      <alignment vertical="top" wrapText="1"/>
    </xf>
    <xf numFmtId="164" fontId="4" fillId="0" borderId="22" xfId="0" applyNumberFormat="1" applyFont="1" applyBorder="1" applyAlignment="1">
      <alignment horizontal="right" vertical="top"/>
    </xf>
    <xf numFmtId="3" fontId="13" fillId="6" borderId="22" xfId="0" applyNumberFormat="1" applyFont="1" applyFill="1" applyBorder="1" applyAlignment="1">
      <alignment horizontal="right" vertical="top"/>
    </xf>
    <xf numFmtId="0" fontId="0" fillId="0" borderId="22" xfId="0" applyBorder="1" applyAlignment="1">
      <alignment horizontal="center" vertical="top"/>
    </xf>
    <xf numFmtId="0" fontId="0" fillId="0" borderId="22" xfId="0" applyBorder="1" applyAlignment="1">
      <alignment horizontal="right" vertical="top"/>
    </xf>
    <xf numFmtId="44" fontId="0" fillId="0" borderId="22" xfId="0" applyNumberFormat="1" applyBorder="1" applyAlignment="1">
      <alignment horizontal="right" vertical="top"/>
    </xf>
    <xf numFmtId="0" fontId="4" fillId="0" borderId="22" xfId="0" applyFont="1" applyBorder="1" applyAlignment="1">
      <alignment vertical="top" wrapText="1"/>
    </xf>
    <xf numFmtId="44" fontId="0" fillId="0" borderId="22" xfId="1" applyFont="1" applyFill="1" applyBorder="1" applyAlignment="1">
      <alignment horizontal="right" vertical="top"/>
    </xf>
    <xf numFmtId="1" fontId="4" fillId="0" borderId="22" xfId="3" applyNumberFormat="1" applyFont="1" applyBorder="1" applyAlignment="1">
      <alignment vertical="top"/>
    </xf>
    <xf numFmtId="44" fontId="4" fillId="0" borderId="22" xfId="0" applyNumberFormat="1" applyFont="1" applyBorder="1" applyAlignment="1">
      <alignment vertical="top"/>
    </xf>
    <xf numFmtId="44" fontId="0" fillId="0" borderId="22" xfId="1" applyFont="1" applyBorder="1" applyAlignment="1">
      <alignment vertical="top"/>
    </xf>
    <xf numFmtId="0" fontId="0" fillId="0" borderId="22" xfId="0" applyBorder="1"/>
    <xf numFmtId="0" fontId="0" fillId="0" borderId="22" xfId="0" applyBorder="1" applyAlignment="1">
      <alignment wrapText="1"/>
    </xf>
    <xf numFmtId="0" fontId="9" fillId="6" borderId="22" xfId="0" applyFont="1" applyFill="1" applyBorder="1" applyAlignment="1">
      <alignment horizontal="left" vertical="center" wrapText="1"/>
    </xf>
    <xf numFmtId="3" fontId="8" fillId="0" borderId="6" xfId="0" applyNumberFormat="1" applyFont="1" applyBorder="1"/>
    <xf numFmtId="0" fontId="16" fillId="0" borderId="7" xfId="0" applyFont="1" applyBorder="1" applyAlignment="1">
      <alignment wrapText="1"/>
    </xf>
    <xf numFmtId="8" fontId="6" fillId="0" borderId="24" xfId="0" applyNumberFormat="1" applyFont="1" applyBorder="1"/>
    <xf numFmtId="0" fontId="16" fillId="0" borderId="9" xfId="0" applyFont="1" applyBorder="1" applyAlignment="1">
      <alignment wrapText="1"/>
    </xf>
    <xf numFmtId="0" fontId="18" fillId="0" borderId="0" xfId="0" applyFont="1"/>
    <xf numFmtId="0" fontId="18" fillId="0" borderId="0" xfId="0" applyFont="1" applyAlignment="1">
      <alignment wrapText="1"/>
    </xf>
    <xf numFmtId="8" fontId="18" fillId="0" borderId="0" xfId="0" applyNumberFormat="1" applyFont="1"/>
    <xf numFmtId="0" fontId="6" fillId="0" borderId="0" xfId="0" applyFont="1" applyAlignment="1">
      <alignment wrapText="1"/>
    </xf>
    <xf numFmtId="0" fontId="20" fillId="0" borderId="0" xfId="0" applyFont="1"/>
    <xf numFmtId="6" fontId="16" fillId="0" borderId="15" xfId="0" applyNumberFormat="1" applyFont="1" applyBorder="1"/>
    <xf numFmtId="8" fontId="16" fillId="0" borderId="15" xfId="0" applyNumberFormat="1" applyFont="1" applyBorder="1"/>
    <xf numFmtId="8" fontId="16" fillId="0" borderId="21" xfId="0" applyNumberFormat="1" applyFont="1" applyBorder="1"/>
    <xf numFmtId="0" fontId="6" fillId="0" borderId="9" xfId="0" applyFont="1" applyBorder="1"/>
    <xf numFmtId="0" fontId="6" fillId="0" borderId="21" xfId="0" applyFont="1" applyBorder="1"/>
    <xf numFmtId="8" fontId="6" fillId="0" borderId="21" xfId="0" applyNumberFormat="1" applyFont="1" applyBorder="1"/>
    <xf numFmtId="0" fontId="18" fillId="0" borderId="0" xfId="0" applyFont="1" applyAlignment="1">
      <alignment vertical="top"/>
    </xf>
    <xf numFmtId="0" fontId="9" fillId="6" borderId="22" xfId="0" applyFont="1" applyFill="1" applyBorder="1" applyAlignment="1">
      <alignment horizontal="left" vertical="top" wrapText="1"/>
    </xf>
    <xf numFmtId="0" fontId="18" fillId="0" borderId="0" xfId="0" applyFont="1" applyAlignment="1">
      <alignment vertical="top" wrapText="1"/>
    </xf>
    <xf numFmtId="0" fontId="0" fillId="5" borderId="22" xfId="0" applyFill="1" applyBorder="1" applyAlignment="1">
      <alignment horizontal="left" vertical="top" wrapText="1"/>
    </xf>
    <xf numFmtId="8" fontId="18" fillId="0" borderId="0" xfId="0" applyNumberFormat="1" applyFont="1" applyAlignment="1">
      <alignment vertical="top"/>
    </xf>
    <xf numFmtId="8" fontId="6" fillId="0" borderId="0" xfId="0" applyNumberFormat="1" applyFont="1" applyAlignment="1">
      <alignment vertical="top"/>
    </xf>
    <xf numFmtId="0" fontId="18" fillId="0" borderId="0" xfId="0" applyFont="1" applyAlignment="1">
      <alignment horizontal="center" vertical="top"/>
    </xf>
    <xf numFmtId="0" fontId="18" fillId="2" borderId="11" xfId="0" applyFont="1" applyFill="1" applyBorder="1"/>
    <xf numFmtId="0" fontId="18" fillId="2" borderId="25" xfId="0" applyFont="1" applyFill="1" applyBorder="1"/>
    <xf numFmtId="0" fontId="18" fillId="0" borderId="7" xfId="0" applyFont="1" applyBorder="1"/>
    <xf numFmtId="8" fontId="18" fillId="0" borderId="15" xfId="0" applyNumberFormat="1" applyFont="1" applyBorder="1"/>
    <xf numFmtId="0" fontId="18" fillId="0" borderId="9" xfId="0" applyFont="1" applyBorder="1"/>
    <xf numFmtId="8" fontId="18" fillId="0" borderId="21" xfId="0" applyNumberFormat="1" applyFont="1" applyBorder="1"/>
    <xf numFmtId="0" fontId="18" fillId="0" borderId="21" xfId="0" applyFont="1" applyBorder="1"/>
    <xf numFmtId="8" fontId="8" fillId="2" borderId="1" xfId="0" applyNumberFormat="1" applyFont="1" applyFill="1" applyBorder="1"/>
    <xf numFmtId="0" fontId="9" fillId="0" borderId="7" xfId="0" applyFont="1" applyBorder="1"/>
    <xf numFmtId="0" fontId="18" fillId="0" borderId="22" xfId="0" applyFont="1" applyBorder="1" applyAlignment="1">
      <alignment vertical="top"/>
    </xf>
    <xf numFmtId="0" fontId="18" fillId="0" borderId="22" xfId="0" applyFont="1" applyBorder="1" applyAlignment="1">
      <alignment horizontal="center" vertical="top"/>
    </xf>
    <xf numFmtId="0" fontId="0" fillId="0" borderId="0" xfId="0" applyAlignment="1">
      <alignment horizontal="center" vertical="top"/>
    </xf>
    <xf numFmtId="0" fontId="6" fillId="0" borderId="22" xfId="0" applyFont="1" applyBorder="1" applyAlignment="1">
      <alignment vertical="top" wrapText="1"/>
    </xf>
    <xf numFmtId="0" fontId="6" fillId="0" borderId="22" xfId="0" applyFont="1" applyBorder="1" applyAlignment="1">
      <alignment wrapText="1"/>
    </xf>
    <xf numFmtId="8" fontId="0" fillId="0" borderId="0" xfId="0" applyNumberFormat="1"/>
    <xf numFmtId="8" fontId="6" fillId="0" borderId="22" xfId="0" applyNumberFormat="1" applyFont="1" applyBorder="1" applyAlignment="1">
      <alignment vertical="top"/>
    </xf>
    <xf numFmtId="8" fontId="0" fillId="0" borderId="0" xfId="0" applyNumberFormat="1" applyAlignment="1">
      <alignment vertical="top"/>
    </xf>
    <xf numFmtId="0" fontId="18" fillId="0" borderId="22" xfId="0" applyFont="1" applyBorder="1" applyAlignment="1">
      <alignment vertical="top" wrapText="1"/>
    </xf>
    <xf numFmtId="0" fontId="18" fillId="0" borderId="22" xfId="0" applyFont="1" applyBorder="1" applyAlignment="1">
      <alignment wrapText="1"/>
    </xf>
    <xf numFmtId="0" fontId="0" fillId="0" borderId="0" xfId="0" applyAlignment="1">
      <alignment vertical="top" wrapText="1"/>
    </xf>
    <xf numFmtId="0" fontId="18" fillId="0" borderId="22" xfId="0" applyFont="1" applyBorder="1"/>
    <xf numFmtId="8" fontId="4" fillId="0" borderId="0" xfId="0" applyNumberFormat="1" applyFont="1" applyAlignment="1">
      <alignment vertical="top"/>
    </xf>
    <xf numFmtId="8" fontId="6" fillId="0" borderId="22" xfId="0" applyNumberFormat="1" applyFont="1" applyBorder="1"/>
    <xf numFmtId="8" fontId="18" fillId="0" borderId="22" xfId="0" applyNumberFormat="1" applyFont="1" applyBorder="1" applyAlignment="1">
      <alignment vertical="top"/>
    </xf>
    <xf numFmtId="8" fontId="0" fillId="0" borderId="0" xfId="1" applyNumberFormat="1" applyFont="1" applyBorder="1" applyAlignment="1">
      <alignment vertical="top"/>
    </xf>
    <xf numFmtId="0" fontId="21" fillId="0" borderId="0" xfId="0" applyFont="1"/>
    <xf numFmtId="0" fontId="18" fillId="0" borderId="15" xfId="0" applyFont="1" applyBorder="1"/>
    <xf numFmtId="44" fontId="9" fillId="6" borderId="22" xfId="0" applyNumberFormat="1" applyFont="1" applyFill="1" applyBorder="1" applyAlignment="1">
      <alignment horizontal="right" vertical="top"/>
    </xf>
    <xf numFmtId="0" fontId="0" fillId="7" borderId="0" xfId="0" applyFill="1" applyAlignment="1">
      <alignment vertical="top"/>
    </xf>
    <xf numFmtId="0" fontId="0" fillId="7" borderId="0" xfId="0" applyFill="1" applyAlignment="1">
      <alignment horizontal="center" vertical="top"/>
    </xf>
    <xf numFmtId="0" fontId="0" fillId="7" borderId="0" xfId="0" applyFill="1"/>
    <xf numFmtId="0" fontId="0" fillId="7" borderId="0" xfId="0" applyFill="1" applyAlignment="1">
      <alignment wrapText="1"/>
    </xf>
    <xf numFmtId="8" fontId="0" fillId="7" borderId="0" xfId="0" applyNumberFormat="1" applyFill="1"/>
    <xf numFmtId="8" fontId="0" fillId="7" borderId="0" xfId="0" applyNumberFormat="1" applyFill="1" applyAlignment="1">
      <alignment vertical="top"/>
    </xf>
    <xf numFmtId="0" fontId="0" fillId="0" borderId="0" xfId="0" pivotButton="1"/>
    <xf numFmtId="0" fontId="3" fillId="0" borderId="20" xfId="2" applyFill="1" applyBorder="1" applyAlignment="1"/>
    <xf numFmtId="44" fontId="12" fillId="0" borderId="6" xfId="0" applyNumberFormat="1" applyFont="1" applyBorder="1" applyAlignment="1">
      <alignment horizontal="center"/>
    </xf>
    <xf numFmtId="0" fontId="10" fillId="2" borderId="19" xfId="0" applyFont="1" applyFill="1" applyBorder="1" applyAlignment="1">
      <alignment horizontal="center"/>
    </xf>
    <xf numFmtId="0" fontId="10" fillId="2" borderId="17" xfId="0" applyFont="1" applyFill="1" applyBorder="1" applyAlignment="1">
      <alignment horizontal="center"/>
    </xf>
    <xf numFmtId="0" fontId="10" fillId="2" borderId="18" xfId="0" applyFont="1" applyFill="1" applyBorder="1" applyAlignment="1">
      <alignment horizontal="center"/>
    </xf>
    <xf numFmtId="0" fontId="12" fillId="0" borderId="6" xfId="0" applyFont="1" applyBorder="1" applyAlignment="1">
      <alignment horizontal="center"/>
    </xf>
    <xf numFmtId="14" fontId="12" fillId="0" borderId="6" xfId="0" applyNumberFormat="1" applyFont="1" applyBorder="1" applyAlignment="1">
      <alignment horizontal="center"/>
    </xf>
    <xf numFmtId="14" fontId="3" fillId="0" borderId="6" xfId="2" applyNumberFormat="1" applyBorder="1" applyAlignment="1">
      <alignment horizontal="center"/>
    </xf>
    <xf numFmtId="0" fontId="8" fillId="2" borderId="4" xfId="0" applyFont="1" applyFill="1" applyBorder="1" applyAlignment="1">
      <alignment horizontal="center"/>
    </xf>
    <xf numFmtId="0" fontId="8" fillId="2" borderId="3" xfId="0" applyFont="1" applyFill="1" applyBorder="1" applyAlignment="1">
      <alignment horizontal="center"/>
    </xf>
    <xf numFmtId="0" fontId="8" fillId="2" borderId="2" xfId="0" applyFont="1" applyFill="1" applyBorder="1" applyAlignment="1">
      <alignment horizontal="center"/>
    </xf>
    <xf numFmtId="0" fontId="0" fillId="0" borderId="6" xfId="0" applyBorder="1" applyAlignment="1">
      <alignment horizontal="left" vertical="center" wrapText="1"/>
    </xf>
    <xf numFmtId="0" fontId="2" fillId="0" borderId="6" xfId="0" applyFont="1" applyBorder="1" applyAlignment="1">
      <alignment horizontal="left" vertical="center" wrapText="1"/>
    </xf>
    <xf numFmtId="0" fontId="2" fillId="0" borderId="6" xfId="0" applyFont="1" applyBorder="1" applyAlignment="1">
      <alignment horizontal="center" vertical="center" wrapText="1"/>
    </xf>
    <xf numFmtId="0" fontId="8" fillId="2" borderId="14" xfId="0" applyFont="1" applyFill="1" applyBorder="1"/>
    <xf numFmtId="0" fontId="8" fillId="2" borderId="13" xfId="0" applyFont="1" applyFill="1" applyBorder="1"/>
    <xf numFmtId="0" fontId="5" fillId="2" borderId="19" xfId="0" applyFont="1" applyFill="1" applyBorder="1" applyAlignment="1">
      <alignment horizontal="center" vertical="center" wrapText="1"/>
    </xf>
    <xf numFmtId="0" fontId="5" fillId="2" borderId="17" xfId="0" applyFont="1" applyFill="1" applyBorder="1" applyAlignment="1">
      <alignment horizontal="center" vertical="center" wrapText="1"/>
    </xf>
    <xf numFmtId="0" fontId="5" fillId="0" borderId="14" xfId="0" applyFont="1" applyBorder="1" applyAlignment="1">
      <alignment horizontal="left" vertical="center" wrapText="1"/>
    </xf>
    <xf numFmtId="0" fontId="5" fillId="0" borderId="13" xfId="0" applyFont="1" applyBorder="1" applyAlignment="1">
      <alignment horizontal="left" vertical="center" wrapText="1"/>
    </xf>
    <xf numFmtId="0" fontId="5" fillId="0" borderId="15" xfId="0" applyFont="1" applyBorder="1" applyAlignment="1">
      <alignment horizontal="left" vertical="center" wrapText="1"/>
    </xf>
    <xf numFmtId="0" fontId="9" fillId="0" borderId="6" xfId="0" applyFont="1" applyBorder="1" applyAlignment="1">
      <alignment horizontal="left"/>
    </xf>
    <xf numFmtId="0" fontId="2" fillId="0" borderId="6" xfId="0" applyFont="1" applyBorder="1" applyAlignment="1">
      <alignment horizontal="left" vertical="top" wrapText="1"/>
    </xf>
    <xf numFmtId="0" fontId="0" fillId="0" borderId="6" xfId="0" applyBorder="1" applyAlignment="1">
      <alignment horizontal="left" vertical="top" wrapText="1"/>
    </xf>
    <xf numFmtId="0" fontId="9" fillId="0" borderId="6" xfId="0" applyFont="1" applyBorder="1" applyAlignment="1">
      <alignment horizontal="left" vertical="top"/>
    </xf>
    <xf numFmtId="0" fontId="18" fillId="0" borderId="14" xfId="0" applyFont="1" applyBorder="1" applyAlignment="1">
      <alignment vertical="top" wrapText="1"/>
    </xf>
    <xf numFmtId="0" fontId="18" fillId="0" borderId="13" xfId="0" applyFont="1" applyBorder="1" applyAlignment="1">
      <alignment vertical="top" wrapText="1"/>
    </xf>
    <xf numFmtId="0" fontId="18" fillId="0" borderId="15" xfId="0" applyFont="1" applyBorder="1" applyAlignment="1">
      <alignment vertical="top" wrapText="1"/>
    </xf>
    <xf numFmtId="0" fontId="0" fillId="0" borderId="14" xfId="0" applyBorder="1" applyAlignment="1">
      <alignment horizontal="center" vertical="top" wrapText="1"/>
    </xf>
    <xf numFmtId="0" fontId="0" fillId="0" borderId="13" xfId="0" applyBorder="1" applyAlignment="1">
      <alignment horizontal="center" vertical="top" wrapText="1"/>
    </xf>
    <xf numFmtId="0" fontId="0" fillId="0" borderId="15" xfId="0" applyBorder="1" applyAlignment="1">
      <alignment horizontal="center" vertical="top" wrapText="1"/>
    </xf>
    <xf numFmtId="0" fontId="17" fillId="0" borderId="14" xfId="0" applyFont="1" applyBorder="1" applyAlignment="1">
      <alignment wrapText="1"/>
    </xf>
    <xf numFmtId="0" fontId="17" fillId="0" borderId="13" xfId="0" applyFont="1" applyBorder="1" applyAlignment="1">
      <alignment wrapText="1"/>
    </xf>
    <xf numFmtId="0" fontId="17" fillId="0" borderId="23" xfId="0" applyFont="1" applyBorder="1" applyAlignment="1">
      <alignment wrapText="1"/>
    </xf>
    <xf numFmtId="0" fontId="18" fillId="0" borderId="14" xfId="0" applyFont="1" applyBorder="1"/>
    <xf numFmtId="0" fontId="18" fillId="0" borderId="13" xfId="0" applyFont="1" applyBorder="1"/>
    <xf numFmtId="0" fontId="18" fillId="0" borderId="15" xfId="0" applyFont="1" applyBorder="1"/>
    <xf numFmtId="0" fontId="16" fillId="0" borderId="14" xfId="0" applyFont="1" applyBorder="1" applyAlignment="1">
      <alignment wrapText="1"/>
    </xf>
    <xf numFmtId="0" fontId="16" fillId="0" borderId="13" xfId="0" applyFont="1" applyBorder="1" applyAlignment="1">
      <alignment wrapText="1"/>
    </xf>
    <xf numFmtId="0" fontId="16" fillId="0" borderId="15" xfId="0" applyFont="1" applyBorder="1" applyAlignment="1">
      <alignment wrapText="1"/>
    </xf>
    <xf numFmtId="0" fontId="2" fillId="0" borderId="14"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5" xfId="0" applyFont="1" applyBorder="1" applyAlignment="1">
      <alignment horizontal="center" vertical="center" wrapText="1"/>
    </xf>
    <xf numFmtId="0" fontId="9" fillId="0" borderId="14" xfId="0" applyFont="1" applyBorder="1" applyAlignment="1">
      <alignment horizontal="left"/>
    </xf>
    <xf numFmtId="0" fontId="9" fillId="0" borderId="13" xfId="0" applyFont="1" applyBorder="1" applyAlignment="1">
      <alignment horizontal="left"/>
    </xf>
    <xf numFmtId="0" fontId="9" fillId="0" borderId="15" xfId="0" applyFont="1" applyBorder="1" applyAlignment="1">
      <alignment horizontal="left"/>
    </xf>
  </cellXfs>
  <cellStyles count="5">
    <cellStyle name="Currency" xfId="1" builtinId="4"/>
    <cellStyle name="Hyperlink" xfId="2" builtinId="8"/>
    <cellStyle name="Normal" xfId="0" builtinId="0"/>
    <cellStyle name="Normal 2" xfId="3" xr:uid="{C80CF241-2AB5-4AD7-971E-1D6A47B7E606}"/>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17/10/relationships/person" Target="persons/person.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1.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s>
</file>

<file path=xl/persons/person.xml><?xml version="1.0" encoding="utf-8"?>
<personList xmlns="http://schemas.microsoft.com/office/spreadsheetml/2018/threadedcomments" xmlns:x="http://schemas.openxmlformats.org/spreadsheetml/2006/main">
  <person displayName="MARY E YOUNG" id="{74E0DC05-6D06-4A69-B28E-196B6885768E}" userId="" providerId=""/>
  <person displayName="Huffman, Edward - FS, WA" id="{A7F8D212-9162-4F31-B5F1-396AF78BDA7D}" userId="S::edward.huffman@usda.gov::f9db8e61-135c-43ce-a886-e382e5b962a2"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4985.411803935189" createdVersion="8" refreshedVersion="8" minRefreshableVersion="3" recordCount="22" xr:uid="{3FFFE29C-3829-476A-8703-0E9F91E0850E}">
  <cacheSource type="worksheet">
    <worksheetSource ref="A10:J32" sheet="RequestSummary"/>
  </cacheSource>
  <cacheFields count="10">
    <cacheField name="Category" numFmtId="0">
      <sharedItems/>
    </cacheField>
    <cacheField name="Project Type" numFmtId="0">
      <sharedItems/>
    </cacheField>
    <cacheField name="Activity Name_x000a_(Each activity needs an &quot;ProjectActivityInformation&quot; tab.)" numFmtId="0">
      <sharedItems/>
    </cacheField>
    <cacheField name="Fire Name" numFmtId="0">
      <sharedItems count="4">
        <s v="Double Creek"/>
        <s v="Nebo"/>
        <s v="Sturgill"/>
        <s v="Sturgil"/>
      </sharedItems>
    </cacheField>
    <cacheField name="Unit" numFmtId="0">
      <sharedItems/>
    </cacheField>
    <cacheField name="Units Needed" numFmtId="0">
      <sharedItems containsMixedTypes="1" containsNumber="1" minValue="0.2" maxValue="171"/>
    </cacheField>
    <cacheField name="Cost/Unit" numFmtId="0">
      <sharedItems containsMixedTypes="1" containsNumber="1" containsInteger="1" minValue="300" maxValue="105275"/>
    </cacheField>
    <cacheField name="Funds Requested" numFmtId="0">
      <sharedItems containsSemiMixedTypes="0" containsString="0" containsNumber="1" minValue="1976" maxValue="305625"/>
    </cacheField>
    <cacheField name="Priority" numFmtId="0">
      <sharedItems/>
    </cacheField>
    <cacheField name="Notes and additional information for review."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s v="Category 1 - Minor Facilities and Infrastructure"/>
    <s v="Non-Range Fences"/>
    <s v="Reconstruction of Memaloose Horse Pasture Fence"/>
    <x v="0"/>
    <s v="miles"/>
    <n v="2.65"/>
    <n v="37399"/>
    <n v="99109"/>
    <s v="Moderate"/>
    <s v="includes material and reconstruction cost"/>
  </r>
  <r>
    <s v="Category 1 - Minor Facilities and Infrastructure"/>
    <s v="Non-Range Fences"/>
    <s v="Granny View Overlook Boundary Fence"/>
    <x v="0"/>
    <s v="miles"/>
    <n v="0.2"/>
    <n v="40280"/>
    <n v="8069"/>
    <s v="Moderate"/>
    <s v="includes material and reconstruction cost"/>
  </r>
  <r>
    <s v="Category 1 - Minor Facilities and Infrastructure"/>
    <s v="Non-Range Fences"/>
    <s v="Removal and Reconstruction of ecology plot fences"/>
    <x v="0"/>
    <s v="miles"/>
    <n v="2.1800000000000002"/>
    <n v="105275"/>
    <n v="234888.46"/>
    <s v="Low"/>
    <s v="Includes removal of burnded fence, material, and reconstruction of new fence.  Would consider a partial funding to just remove the fence and not reconstruct"/>
  </r>
  <r>
    <s v="Category 1 - Minor Facilities and Infrastructure"/>
    <s v="Range"/>
    <s v="50/50 cost share of materail and labor for fence reconstruction"/>
    <x v="0"/>
    <s v="miles"/>
    <n v="6"/>
    <n v="38280"/>
    <n v="229680"/>
    <s v="High"/>
    <s v="Material is about 20% of reconstruction cost.  Labor is about 80% of reconstruction cost.  50/50 cost share is $210,000.  requested funds are for material and labor upto 50% of anticipated cost.  "/>
  </r>
  <r>
    <s v="Category 1 - Minor Facilities and Infrastructure"/>
    <s v="Rec Facilities"/>
    <s v="Burned Buildings Clean-up High"/>
    <x v="0"/>
    <s v="Ea"/>
    <n v="4"/>
    <n v="22500"/>
    <n v="90000"/>
    <s v="High"/>
    <s v="Dorrance and Marks"/>
  </r>
  <r>
    <s v="Category 1 - Minor Facilities and Infrastructure"/>
    <s v="Rec Facilities"/>
    <s v="Burned Buildings Clean-up Low"/>
    <x v="0"/>
    <s v="Ea"/>
    <n v="2"/>
    <n v="17500"/>
    <n v="35000"/>
    <s v="Low"/>
    <s v="Schaeffer and Granny View"/>
  </r>
  <r>
    <s v="Category 1 - Minor Facilities and Infrastructure"/>
    <s v="Rec Facilities"/>
    <s v="Double Creek Rec Site Repairs"/>
    <x v="0"/>
    <s v="See Activity Tab"/>
    <s v="See Activity Tab"/>
    <s v="See Activity Tab"/>
    <n v="117168"/>
    <s v="High"/>
    <m/>
  </r>
  <r>
    <s v="Category 1 - Minor Facilities and Infrastructure"/>
    <s v="Signs"/>
    <s v="Double Creek Sign Replacement"/>
    <x v="0"/>
    <s v="See Activity Tab"/>
    <s v="See Activity Tab"/>
    <s v="See Activity Tab"/>
    <n v="46492"/>
    <s v="High"/>
    <m/>
  </r>
  <r>
    <s v="Category 1 - Minor Facilities and Infrastructure"/>
    <s v="Signs"/>
    <s v="Nebo Sign Replacement"/>
    <x v="1"/>
    <s v="See Activity Tab"/>
    <s v="See Activity Tab"/>
    <s v="See Activity Tab"/>
    <n v="1976"/>
    <s v="High"/>
    <m/>
  </r>
  <r>
    <s v="Category 1 - Minor Facilities and Infrastructure"/>
    <s v="Signs"/>
    <s v="Sturgill Sign Replacement"/>
    <x v="2"/>
    <s v="See Activity Tab"/>
    <s v="See Activity Tab"/>
    <s v="See Activity Tab"/>
    <n v="2624"/>
    <s v="High"/>
    <m/>
  </r>
  <r>
    <s v="Category 1 - Minor Facilities and Infrastructure"/>
    <s v="Trails"/>
    <s v="Double Creek Trail Damage Repair"/>
    <x v="0"/>
    <s v="mile"/>
    <n v="108"/>
    <n v="2500"/>
    <n v="270000"/>
    <s v="High"/>
    <m/>
  </r>
  <r>
    <s v="Category 1 - Minor Facilities and Infrastructure"/>
    <s v="Trails"/>
    <s v="Double Creek Boardwalk Reconstruction"/>
    <x v="0"/>
    <s v="See Activity Tab"/>
    <s v="See Activity Tab"/>
    <s v="See Activity Tab"/>
    <n v="305625"/>
    <s v="High"/>
    <m/>
  </r>
  <r>
    <s v="Category 1 - Minor Facilities and Infrastructure"/>
    <s v="Trails"/>
    <s v="Nebo Trail Damage Repair"/>
    <x v="1"/>
    <s v="mile"/>
    <n v="4"/>
    <n v="4063"/>
    <n v="16252"/>
    <s v="High"/>
    <m/>
  </r>
  <r>
    <s v="Category 1 - Minor Facilities and Infrastructure"/>
    <s v="Trails"/>
    <s v="Nebo Trail Bridges Reconstruction"/>
    <x v="1"/>
    <s v="See Activity Tab"/>
    <s v="See Activity Tab"/>
    <s v="See Activity Tab"/>
    <n v="142600"/>
    <s v="High"/>
    <m/>
  </r>
  <r>
    <s v="Category 1 - Minor Facilities and Infrastructure"/>
    <s v="Trails"/>
    <s v="Sturgill Trail Damage Repair"/>
    <x v="2"/>
    <s v="mile"/>
    <n v="3"/>
    <n v="6300"/>
    <n v="18900"/>
    <s v="High"/>
    <m/>
  </r>
  <r>
    <s v="Category 2 - Lands Unlikely to Recover Naturally"/>
    <s v="Invasive Plant Treatments"/>
    <s v="Protection Area Invasive Plant Treatments"/>
    <x v="0"/>
    <s v="Acres"/>
    <n v="62"/>
    <n v="400"/>
    <n v="24800"/>
    <s v="High"/>
    <s v="Previously funded by BAER: 10% of survey acres resulting in treatments - (outyear treatments)"/>
  </r>
  <r>
    <s v="Category 2 - Lands Unlikely to Recover Naturally"/>
    <s v="Invasive Plant Treatments"/>
    <s v="Suppression Disturbance Invasive Plant Treatments"/>
    <x v="0"/>
    <s v="Acres"/>
    <n v="165"/>
    <n v="300"/>
    <n v="49500"/>
    <s v="High"/>
    <s v="Previously funded by BAER: 10% of survey acres (EDRR treatments) from BAER request, buffered at 100ft."/>
  </r>
  <r>
    <s v="Category 2 - Lands Unlikely to Recover Naturally"/>
    <s v="Invasive Plant Treatments"/>
    <s v="Suppression Disturbance Invasive Plant Treatments"/>
    <x v="1"/>
    <s v="Acres"/>
    <n v="51"/>
    <n v="300"/>
    <n v="15300"/>
    <s v="High"/>
    <s v="New request - not covered in BAER (Outyear treatments requested for 3 seasons)"/>
  </r>
  <r>
    <s v="Category 2 - Lands Unlikely to Recover Naturally"/>
    <s v="Invasive Plant Treatments"/>
    <s v="Suppression Disturbance Invasive Plant Treatments"/>
    <x v="3"/>
    <s v="Acres"/>
    <n v="171"/>
    <n v="300"/>
    <n v="51300"/>
    <s v="High"/>
    <s v="New request - not covered in BAER (Outyear treatments requested for 3 seasons)"/>
  </r>
  <r>
    <s v="Category 2 - Lands Unlikely to Recover Naturally"/>
    <s v="Revegetation"/>
    <s v="Protection Area Preventative Native Seeding"/>
    <x v="0"/>
    <s v="Acres"/>
    <n v="86"/>
    <n v="400"/>
    <n v="34400"/>
    <s v="High"/>
    <s v="Includes native seed purchase + application.  (7 acres previously funded by BAER in TES site)"/>
  </r>
  <r>
    <s v="Category 2 - Lands Unlikely to Recover Naturally"/>
    <s v="Revegetation"/>
    <s v="Suppression Disturbance Preventative Native Seeding"/>
    <x v="1"/>
    <s v="Acres"/>
    <n v="17"/>
    <n v="400"/>
    <n v="6800"/>
    <s v="High"/>
    <s v="New request - not covered in BAER (Seeding will occur after all treatments completed)"/>
  </r>
  <r>
    <s v="Category 2 - Lands Unlikely to Recover Naturally"/>
    <s v="Revegetation"/>
    <s v="Suppression Disturbance Preventative Native Seeding"/>
    <x v="3"/>
    <s v="Acres"/>
    <n v="57"/>
    <n v="400"/>
    <n v="22800"/>
    <s v="High"/>
    <s v="New request - not covered in BAER (Seeding will occur after all treatments complet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8C4E40-6B93-4814-9F98-023CA4624FAD}" name="PivotTable1" cacheId="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8" firstHeaderRow="1" firstDataRow="1" firstDataCol="1"/>
  <pivotFields count="10">
    <pivotField compact="0" outline="0" showAll="0"/>
    <pivotField compact="0" outline="0" showAll="0"/>
    <pivotField compact="0" outline="0" showAll="0"/>
    <pivotField axis="axisRow" compact="0" outline="0" showAll="0">
      <items count="5">
        <item x="0"/>
        <item x="1"/>
        <item x="3"/>
        <item x="2"/>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s>
  <rowFields count="1">
    <field x="3"/>
  </rowFields>
  <rowItems count="5">
    <i>
      <x/>
    </i>
    <i>
      <x v="1"/>
    </i>
    <i>
      <x v="2"/>
    </i>
    <i>
      <x v="3"/>
    </i>
    <i t="grand">
      <x/>
    </i>
  </rowItems>
  <colItems count="1">
    <i/>
  </colItems>
  <dataFields count="1">
    <dataField name="Sum of Funds Requested"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5" dT="2023-02-23T17:38:26.72" personId="{A7F8D212-9162-4F31-B5F1-396AF78BDA7D}" id="{115FDDBB-9AE5-4FD4-964C-7ACB5D58C8F5}">
    <text>how is this different than the high priority sites? is Granny View site near a road (lower cost)? The decsription is the same as for the high priority sites</text>
  </threadedComment>
  <threadedComment ref="B5" dT="2023-02-27T23:06:17.43" personId="{74E0DC05-6D06-4A69-B28E-196B6885768E}" id="{87D8C77F-F817-495C-829C-08FC39AFEF6B}" parentId="{115FDDBB-9AE5-4FD4-964C-7ACB5D58C8F5}">
    <text xml:space="preserve">The difference is - high priority were buildings being USED. Low priority buildings were being unused at the time of the fires. 
which is part of the BAR guidance - we didn't want to exclude them though because I personally feel (Mary) like they should qualify. </text>
  </threadedComment>
  <threadedComment ref="B5" dT="2023-02-27T23:06:42.99" personId="{74E0DC05-6D06-4A69-B28E-196B6885768E}" id="{7135CD07-9E7D-464F-A375-B2287C98116B}" parentId="{115FDDBB-9AE5-4FD4-964C-7ACB5D58C8F5}">
    <text>granny view is much more accessible and cost is lower</text>
  </threadedComment>
</ThreadedComments>
</file>

<file path=xl/threadedComments/threadedComment2.xml><?xml version="1.0" encoding="utf-8"?>
<ThreadedComments xmlns="http://schemas.microsoft.com/office/spreadsheetml/2018/threadedcomments" xmlns:x="http://schemas.openxmlformats.org/spreadsheetml/2006/main">
  <threadedComment ref="B7" dT="2023-02-23T17:40:16.25" personId="{A7F8D212-9162-4F31-B5F1-396AF78BDA7D}" id="{9332C391-AFE3-4B2B-8F46-91E329819326}">
    <text>fire resilient material? e.g. concrete benches, metal spring box and distribution lines?</text>
  </threadedComment>
  <threadedComment ref="B7" dT="2023-02-27T23:07:41.15" personId="{74E0DC05-6D06-4A69-B28E-196B6885768E}" id="{91787C02-024F-4154-B5F3-695834CAEAB1}" parentId="{9332C391-AFE3-4B2B-8F46-91E329819326}">
    <text>Yes. Updated to include that in the design/construction specs 2/27/23</text>
  </threadedComment>
</ThreadedComments>
</file>

<file path=xl/threadedComments/threadedComment3.xml><?xml version="1.0" encoding="utf-8"?>
<ThreadedComments xmlns="http://schemas.microsoft.com/office/spreadsheetml/2018/threadedcomments" xmlns:x="http://schemas.openxmlformats.org/spreadsheetml/2006/main">
  <threadedComment ref="C15" dT="2023-02-23T17:48:13.89" personId="{A7F8D212-9162-4F31-B5F1-396AF78BDA7D}" id="{4DD955E3-E68B-4189-90ED-D6A602561A41}">
    <text>should this be 8? previous tabs had one unit of installation per sign</text>
  </threadedComment>
  <threadedComment ref="C15" dT="2023-02-27T23:45:48.79" personId="{74E0DC05-6D06-4A69-B28E-196B6885768E}" id="{0BC1E682-0921-449C-ACE5-46D446870D87}" parentId="{4DD955E3-E68B-4189-90ED-D6A602561A41}">
    <text xml:space="preserve">Changed trail sign installation from 16 to 8 per discussion with John Hollenbeak 2/27/23
</text>
  </threadedComment>
</ThreadedComments>
</file>

<file path=xl/threadedComments/threadedComment4.xml><?xml version="1.0" encoding="utf-8"?>
<ThreadedComments xmlns="http://schemas.microsoft.com/office/spreadsheetml/2018/threadedcomments" xmlns:x="http://schemas.openxmlformats.org/spreadsheetml/2006/main">
  <threadedComment ref="B5" dT="2023-02-23T18:06:00.22" personId="{A7F8D212-9162-4F31-B5F1-396AF78BDA7D}" id="{2F66609C-C280-4BF9-9B82-6BC9117C4DF6}">
    <text>if fire did not damage the bridge directly it likely is not eligible for BAR</text>
  </threadedComment>
  <threadedComment ref="B5" dT="2023-02-27T19:04:42.66" personId="{74E0DC05-6D06-4A69-B28E-196B6885768E}" id="{D319A558-C353-4E18-B0DC-4B898DD3FCDA}" parentId="{2F66609C-C280-4BF9-9B82-6BC9117C4DF6}">
    <text xml:space="preserve">One bridge DID burn the other likely burned (was located in mod/high SBS mosaic burn) however it was washed away during a rain event before the BAER team assembled. It was not able to be located because of safety. I'm checking with recreation shop to see if someone did see the bridge before it was washed out. </text>
  </threadedComment>
</ThreadedComments>
</file>

<file path=xl/threadedComments/threadedComment5.xml><?xml version="1.0" encoding="utf-8"?>
<ThreadedComments xmlns="http://schemas.microsoft.com/office/spreadsheetml/2018/threadedcomments" xmlns:x="http://schemas.openxmlformats.org/spreadsheetml/2006/main">
  <threadedComment ref="B12" dT="2023-02-23T17:57:26.03" personId="{A7F8D212-9162-4F31-B5F1-396AF78BDA7D}" id="{A945C577-2051-4814-9C0E-12936AC79327}">
    <text>unit cost difference between the fires? economy of scale, access, pack stock needs partners, amount of logout? some reasoning would be beneficial</text>
  </threadedComment>
  <threadedComment ref="B12" dT="2023-02-27T19:02:28.12" personId="{74E0DC05-6D06-4A69-B28E-196B6885768E}" id="{EA897D74-B8E0-426B-A1FD-83FC66B37B7C}" parentId="{A945C577-2051-4814-9C0E-12936AC79327}">
    <text xml:space="preserve">I asked Recreation just now. Sturgill is in the wilderness so any trail repair will likely require pack stock needs and having help from partners. It likely is just more costly because of access but I did ask Recreation folks to provide more detail on cost/unit difference for sturgill. </text>
  </threadedComment>
  <threadedComment ref="B12" dT="2023-02-27T23:01:27.18" personId="{74E0DC05-6D06-4A69-B28E-196B6885768E}" id="{3FAF552D-FBA4-49E9-804B-D33CEDEDBDBC}" parentId="{A945C577-2051-4814-9C0E-12936AC79327}">
    <text>Sturgill trail cost is due to the work being more spread out and takes alot more work just to get there. for instance if the trails are opened already it would still take a full day to get to each individual site. likely some trail work would have to be performed to establish access.</text>
  </threadedComment>
  <threadedComment ref="B12" dT="2023-02-27T23:11:37.68" personId="{74E0DC05-6D06-4A69-B28E-196B6885768E}" id="{676AA2D9-077B-4581-B13F-C68CFFD4B4A8}" parentId="{A945C577-2051-4814-9C0E-12936AC79327}">
    <text xml:space="preserve">I did add some description of the additional work that is associated with Nebo and Sturgil. They are higher and it all has to do with access. </text>
  </threadedComment>
</ThreadedComments>
</file>

<file path=xl/threadedComments/threadedComment6.xml><?xml version="1.0" encoding="utf-8"?>
<ThreadedComments xmlns="http://schemas.microsoft.com/office/spreadsheetml/2018/threadedcomments" xmlns:x="http://schemas.openxmlformats.org/spreadsheetml/2006/main">
  <threadedComment ref="B5" dT="2023-02-23T18:24:32.40" personId="{A7F8D212-9162-4F31-B5F1-396AF78BDA7D}" id="{A3E69C0F-A310-4F89-AE34-9160D29CF1CB}">
    <text>suppression repair EDRR is covered in 2500-8. How is this different? as written and expressed it seems to be continuation of approved BAER activities and would be appropriate for years 2 and 3.</text>
  </threadedComment>
  <threadedComment ref="C12" dT="2023-02-23T18:23:14.30" personId="{A7F8D212-9162-4F31-B5F1-396AF78BDA7D}" id="{64E79587-CEB5-43BC-BC46-2411D6C038DD}">
    <text>same number of acres and unit cost per acre as the 2500-8 BAER report</text>
  </threadedComment>
</ThreadedComments>
</file>

<file path=xl/threadedComments/threadedComment7.xml><?xml version="1.0" encoding="utf-8"?>
<ThreadedComments xmlns="http://schemas.microsoft.com/office/spreadsheetml/2018/threadedcomments" xmlns:x="http://schemas.openxmlformats.org/spreadsheetml/2006/main">
  <threadedComment ref="B5" dT="2023-02-23T18:27:42.46" personId="{A7F8D212-9162-4F31-B5F1-396AF78BDA7D}" id="{D86030B4-759B-48BA-95B4-27A912D03EBC}">
    <text>since there was no suppression EDRR requested/approved for Sturgill and Nebo include what this covers that would not have been covered in BAER</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usfs.box.com/s/88zbstjmn0tqtsmyfse9f6z841b2s4os" TargetMode="External"/><Relationship Id="rId1" Type="http://schemas.openxmlformats.org/officeDocument/2006/relationships/hyperlink" Target="https://usdagcc.sharepoint.com/sites/fs-baer/SitePages/2020-Pilot---Minor-Infrastructure-and-Facilities.aspx"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6.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854F7-26C8-4F55-BC81-44BEC40F0A2C}">
  <dimension ref="A1:AC245"/>
  <sheetViews>
    <sheetView zoomScale="120" zoomScaleNormal="120" workbookViewId="0">
      <pane xSplit="3" ySplit="10" topLeftCell="D11" activePane="bottomRight" state="frozen"/>
      <selection pane="topRight" activeCell="D1" sqref="D1"/>
      <selection pane="bottomLeft" activeCell="A8" sqref="A8"/>
      <selection pane="bottomRight" activeCell="J32" sqref="A10:J32"/>
    </sheetView>
  </sheetViews>
  <sheetFormatPr defaultRowHeight="15" x14ac:dyDescent="0.25"/>
  <cols>
    <col min="1" max="1" width="23.7109375" customWidth="1"/>
    <col min="2" max="2" width="30.28515625" customWidth="1"/>
    <col min="3" max="3" width="51.28515625" customWidth="1"/>
    <col min="4" max="4" width="15.85546875" bestFit="1" customWidth="1"/>
    <col min="5" max="5" width="13.7109375" style="1" bestFit="1" customWidth="1"/>
    <col min="6" max="6" width="14.28515625" customWidth="1"/>
    <col min="7" max="7" width="15" customWidth="1"/>
    <col min="8" max="8" width="20.28515625" customWidth="1"/>
    <col min="9" max="9" width="18.85546875" customWidth="1"/>
    <col min="10" max="10" width="79.42578125" customWidth="1"/>
  </cols>
  <sheetData>
    <row r="1" spans="1:10" ht="23.25" x14ac:dyDescent="0.35">
      <c r="A1" s="136" t="s">
        <v>0</v>
      </c>
      <c r="B1" s="137"/>
      <c r="C1" s="138"/>
      <c r="D1" s="42"/>
      <c r="E1" s="18"/>
      <c r="F1" s="19"/>
      <c r="G1" s="19"/>
      <c r="H1" s="19"/>
    </row>
    <row r="2" spans="1:10" ht="18.75" customHeight="1" x14ac:dyDescent="0.3">
      <c r="A2" s="35" t="s">
        <v>1</v>
      </c>
      <c r="B2" s="139">
        <v>6</v>
      </c>
      <c r="C2" s="139"/>
      <c r="D2" s="38"/>
      <c r="E2" s="20"/>
      <c r="F2" s="21"/>
      <c r="G2" s="21"/>
      <c r="H2" s="21"/>
      <c r="I2" s="7"/>
    </row>
    <row r="3" spans="1:10" ht="18.75" x14ac:dyDescent="0.3">
      <c r="A3" s="35" t="s">
        <v>2</v>
      </c>
      <c r="B3" s="139" t="s">
        <v>3</v>
      </c>
      <c r="C3" s="139"/>
      <c r="D3" s="38"/>
      <c r="E3" s="20"/>
      <c r="F3" s="21"/>
      <c r="G3" s="21"/>
      <c r="H3" s="21"/>
      <c r="I3" s="17"/>
    </row>
    <row r="4" spans="1:10" ht="18.75" x14ac:dyDescent="0.3">
      <c r="A4" s="35" t="s">
        <v>4</v>
      </c>
      <c r="B4" s="139" t="s">
        <v>5</v>
      </c>
      <c r="C4" s="139"/>
      <c r="D4" s="43"/>
      <c r="E4" s="20"/>
      <c r="F4" s="21"/>
      <c r="G4" s="21"/>
      <c r="H4" s="21"/>
      <c r="I4" s="7"/>
    </row>
    <row r="5" spans="1:10" ht="18.75" x14ac:dyDescent="0.3">
      <c r="A5" s="35" t="s">
        <v>6</v>
      </c>
      <c r="B5" s="139" t="s">
        <v>7</v>
      </c>
      <c r="C5" s="139"/>
      <c r="D5" s="38"/>
      <c r="E5" s="20"/>
      <c r="F5" s="21"/>
      <c r="G5" s="21"/>
      <c r="H5" s="21"/>
      <c r="I5" s="7"/>
    </row>
    <row r="6" spans="1:10" ht="18.75" x14ac:dyDescent="0.3">
      <c r="A6" s="35" t="s">
        <v>8</v>
      </c>
      <c r="B6" s="140">
        <v>44978</v>
      </c>
      <c r="C6" s="140"/>
      <c r="D6" s="39"/>
      <c r="E6" s="20"/>
      <c r="F6" s="21"/>
      <c r="G6" s="21"/>
      <c r="H6" s="21"/>
    </row>
    <row r="7" spans="1:10" ht="18.75" x14ac:dyDescent="0.3">
      <c r="A7" s="36" t="s">
        <v>9</v>
      </c>
      <c r="B7" s="141" t="s">
        <v>10</v>
      </c>
      <c r="C7" s="141"/>
      <c r="D7" s="40"/>
      <c r="E7" s="20"/>
      <c r="F7" s="21"/>
      <c r="G7" s="21"/>
      <c r="H7" s="21"/>
    </row>
    <row r="8" spans="1:10" ht="19.5" thickBot="1" x14ac:dyDescent="0.35">
      <c r="A8" s="4" t="s">
        <v>11</v>
      </c>
      <c r="B8" s="135">
        <f>SUM(H11:H144)</f>
        <v>1823283.46</v>
      </c>
      <c r="C8" s="135"/>
      <c r="D8" s="41"/>
      <c r="E8" s="23"/>
      <c r="F8" s="22"/>
      <c r="G8" s="22"/>
      <c r="H8" s="22"/>
    </row>
    <row r="9" spans="1:10" ht="18.75" x14ac:dyDescent="0.3">
      <c r="A9" s="134" t="s">
        <v>12</v>
      </c>
      <c r="B9" s="134"/>
      <c r="C9" s="134"/>
      <c r="D9" s="25"/>
      <c r="E9" s="26"/>
      <c r="F9" s="22"/>
      <c r="G9" s="22"/>
      <c r="H9" s="22"/>
    </row>
    <row r="10" spans="1:10" ht="47.25" x14ac:dyDescent="0.25">
      <c r="A10" s="47" t="s">
        <v>13</v>
      </c>
      <c r="B10" s="47" t="s">
        <v>14</v>
      </c>
      <c r="C10" s="48" t="s">
        <v>15</v>
      </c>
      <c r="D10" s="48" t="s">
        <v>16</v>
      </c>
      <c r="E10" s="48" t="s">
        <v>17</v>
      </c>
      <c r="F10" s="47" t="s">
        <v>18</v>
      </c>
      <c r="G10" s="47" t="s">
        <v>19</v>
      </c>
      <c r="H10" s="47" t="s">
        <v>20</v>
      </c>
      <c r="I10" s="47" t="s">
        <v>21</v>
      </c>
      <c r="J10" s="49" t="s">
        <v>22</v>
      </c>
    </row>
    <row r="11" spans="1:10" s="54" customFormat="1" x14ac:dyDescent="0.25">
      <c r="A11" s="55" t="s">
        <v>23</v>
      </c>
      <c r="B11" s="58" t="s">
        <v>24</v>
      </c>
      <c r="C11" s="93" t="s">
        <v>25</v>
      </c>
      <c r="D11" s="76" t="s">
        <v>26</v>
      </c>
      <c r="E11" s="76" t="s">
        <v>27</v>
      </c>
      <c r="F11" s="56">
        <v>2.65</v>
      </c>
      <c r="G11" s="57">
        <v>37399</v>
      </c>
      <c r="H11" s="126">
        <v>99109</v>
      </c>
      <c r="I11" s="58" t="s">
        <v>28</v>
      </c>
      <c r="J11" s="95" t="s">
        <v>29</v>
      </c>
    </row>
    <row r="12" spans="1:10" s="8" customFormat="1" x14ac:dyDescent="0.25">
      <c r="A12" s="59" t="s">
        <v>23</v>
      </c>
      <c r="B12" s="66" t="s">
        <v>24</v>
      </c>
      <c r="C12" s="61" t="s">
        <v>30</v>
      </c>
      <c r="D12" s="61" t="s">
        <v>26</v>
      </c>
      <c r="E12" s="62" t="s">
        <v>27</v>
      </c>
      <c r="F12" s="67">
        <v>0.2</v>
      </c>
      <c r="G12" s="68">
        <v>40280</v>
      </c>
      <c r="H12" s="70">
        <v>8069</v>
      </c>
      <c r="I12" s="66" t="s">
        <v>28</v>
      </c>
      <c r="J12" s="59" t="s">
        <v>29</v>
      </c>
    </row>
    <row r="13" spans="1:10" s="8" customFormat="1" x14ac:dyDescent="0.25">
      <c r="A13" s="59" t="s">
        <v>23</v>
      </c>
      <c r="B13" s="66" t="s">
        <v>24</v>
      </c>
      <c r="C13" s="59" t="s">
        <v>31</v>
      </c>
      <c r="D13" s="59" t="s">
        <v>26</v>
      </c>
      <c r="E13" s="61" t="s">
        <v>27</v>
      </c>
      <c r="F13" s="59">
        <v>2.1800000000000002</v>
      </c>
      <c r="G13" s="72">
        <v>105275</v>
      </c>
      <c r="H13" s="73">
        <v>234888.46</v>
      </c>
      <c r="I13" s="66" t="s">
        <v>32</v>
      </c>
      <c r="J13" s="59" t="s">
        <v>33</v>
      </c>
    </row>
    <row r="14" spans="1:10" s="8" customFormat="1" ht="45" x14ac:dyDescent="0.25">
      <c r="A14" s="59" t="s">
        <v>23</v>
      </c>
      <c r="B14" s="66" t="s">
        <v>34</v>
      </c>
      <c r="C14" s="61" t="s">
        <v>35</v>
      </c>
      <c r="D14" s="62" t="s">
        <v>26</v>
      </c>
      <c r="E14" s="63" t="s">
        <v>27</v>
      </c>
      <c r="F14" s="59">
        <v>6</v>
      </c>
      <c r="G14" s="64">
        <v>38280</v>
      </c>
      <c r="H14" s="65">
        <f>F14*G14</f>
        <v>229680</v>
      </c>
      <c r="I14" s="66" t="s">
        <v>36</v>
      </c>
      <c r="J14" s="61" t="s">
        <v>37</v>
      </c>
    </row>
    <row r="15" spans="1:10" s="8" customFormat="1" x14ac:dyDescent="0.25">
      <c r="A15" s="59" t="s">
        <v>23</v>
      </c>
      <c r="B15" s="66" t="s">
        <v>38</v>
      </c>
      <c r="C15" s="69" t="s">
        <v>39</v>
      </c>
      <c r="D15" s="69" t="s">
        <v>26</v>
      </c>
      <c r="E15" s="63" t="s">
        <v>40</v>
      </c>
      <c r="F15" s="71">
        <v>4</v>
      </c>
      <c r="G15" s="72">
        <v>22500</v>
      </c>
      <c r="H15" s="70">
        <v>90000</v>
      </c>
      <c r="I15" s="66" t="s">
        <v>36</v>
      </c>
      <c r="J15" s="59" t="s">
        <v>41</v>
      </c>
    </row>
    <row r="16" spans="1:10" s="8" customFormat="1" x14ac:dyDescent="0.25">
      <c r="A16" s="59" t="s">
        <v>23</v>
      </c>
      <c r="B16" s="66" t="s">
        <v>38</v>
      </c>
      <c r="C16" s="69" t="s">
        <v>42</v>
      </c>
      <c r="D16" s="69" t="s">
        <v>26</v>
      </c>
      <c r="E16" s="63" t="s">
        <v>40</v>
      </c>
      <c r="F16" s="71">
        <v>2</v>
      </c>
      <c r="G16" s="72">
        <v>17500</v>
      </c>
      <c r="H16" s="70">
        <v>35000</v>
      </c>
      <c r="I16" s="66" t="s">
        <v>32</v>
      </c>
      <c r="J16" s="59" t="s">
        <v>43</v>
      </c>
    </row>
    <row r="17" spans="1:29" s="8" customFormat="1" ht="30" x14ac:dyDescent="0.25">
      <c r="A17" s="108" t="s">
        <v>23</v>
      </c>
      <c r="B17" s="109" t="s">
        <v>38</v>
      </c>
      <c r="C17" s="111" t="s">
        <v>44</v>
      </c>
      <c r="D17" s="112" t="s">
        <v>26</v>
      </c>
      <c r="E17" s="112" t="s">
        <v>45</v>
      </c>
      <c r="F17" s="112" t="s">
        <v>45</v>
      </c>
      <c r="G17" s="112" t="s">
        <v>45</v>
      </c>
      <c r="H17" s="114">
        <v>117168</v>
      </c>
      <c r="I17" s="109" t="s">
        <v>36</v>
      </c>
      <c r="J17" s="108"/>
      <c r="K17" s="81"/>
      <c r="L17" s="81"/>
      <c r="M17" s="81"/>
      <c r="N17" s="81"/>
      <c r="O17" s="81"/>
      <c r="P17" s="81"/>
      <c r="Q17" s="81"/>
      <c r="R17" s="81"/>
      <c r="S17" s="81"/>
      <c r="T17" s="81"/>
      <c r="U17" s="81"/>
      <c r="V17" s="81"/>
      <c r="W17" s="81"/>
      <c r="X17" s="81"/>
      <c r="Y17" s="81"/>
      <c r="Z17" s="81"/>
      <c r="AA17" s="81"/>
      <c r="AB17" s="81"/>
      <c r="AC17" s="81"/>
    </row>
    <row r="18" spans="1:29" ht="30" x14ac:dyDescent="0.25">
      <c r="A18" s="108" t="s">
        <v>23</v>
      </c>
      <c r="B18" s="109" t="s">
        <v>46</v>
      </c>
      <c r="C18" s="111" t="s">
        <v>47</v>
      </c>
      <c r="D18" s="112" t="s">
        <v>26</v>
      </c>
      <c r="E18" s="112" t="s">
        <v>45</v>
      </c>
      <c r="F18" s="112" t="s">
        <v>45</v>
      </c>
      <c r="G18" s="112" t="s">
        <v>45</v>
      </c>
      <c r="H18" s="122">
        <v>46492</v>
      </c>
      <c r="I18" s="109" t="s">
        <v>36</v>
      </c>
      <c r="J18" s="108"/>
      <c r="K18" s="81"/>
      <c r="L18" s="81"/>
      <c r="M18" s="81"/>
      <c r="N18" s="81"/>
      <c r="O18" s="81"/>
      <c r="P18" s="81"/>
      <c r="Q18" s="81"/>
      <c r="R18" s="81"/>
      <c r="S18" s="81"/>
      <c r="T18" s="81"/>
      <c r="U18" s="81"/>
      <c r="V18" s="81"/>
      <c r="W18" s="81"/>
      <c r="X18" s="81"/>
      <c r="Y18" s="81"/>
      <c r="Z18" s="81"/>
      <c r="AA18" s="81"/>
      <c r="AB18" s="81"/>
      <c r="AC18" s="81"/>
    </row>
    <row r="19" spans="1:29" ht="30" x14ac:dyDescent="0.25">
      <c r="A19" s="108" t="s">
        <v>23</v>
      </c>
      <c r="B19" s="109" t="s">
        <v>46</v>
      </c>
      <c r="C19" s="111" t="s">
        <v>48</v>
      </c>
      <c r="D19" s="112" t="s">
        <v>49</v>
      </c>
      <c r="E19" s="112" t="s">
        <v>45</v>
      </c>
      <c r="F19" s="112" t="s">
        <v>45</v>
      </c>
      <c r="G19" s="112" t="s">
        <v>45</v>
      </c>
      <c r="H19" s="122">
        <v>1976</v>
      </c>
      <c r="I19" s="109" t="s">
        <v>36</v>
      </c>
      <c r="J19" s="108"/>
      <c r="K19" s="81"/>
      <c r="L19" s="81"/>
      <c r="M19" s="81"/>
      <c r="N19" s="81"/>
      <c r="O19" s="81"/>
      <c r="P19" s="81"/>
      <c r="Q19" s="81"/>
      <c r="R19" s="81"/>
      <c r="S19" s="81"/>
      <c r="T19" s="81"/>
      <c r="U19" s="81"/>
      <c r="V19" s="81"/>
      <c r="W19" s="81"/>
      <c r="X19" s="81"/>
      <c r="Y19" s="81"/>
      <c r="Z19" s="81"/>
      <c r="AA19" s="81"/>
      <c r="AB19" s="81"/>
      <c r="AC19" s="81"/>
    </row>
    <row r="20" spans="1:29" ht="30" x14ac:dyDescent="0.25">
      <c r="A20" s="108" t="s">
        <v>23</v>
      </c>
      <c r="B20" s="109" t="s">
        <v>46</v>
      </c>
      <c r="C20" s="111" t="s">
        <v>50</v>
      </c>
      <c r="D20" s="112" t="s">
        <v>51</v>
      </c>
      <c r="E20" s="112" t="s">
        <v>45</v>
      </c>
      <c r="F20" s="112" t="s">
        <v>45</v>
      </c>
      <c r="G20" s="112" t="s">
        <v>45</v>
      </c>
      <c r="H20" s="122">
        <v>2624</v>
      </c>
      <c r="I20" s="109" t="s">
        <v>36</v>
      </c>
      <c r="J20" s="108"/>
      <c r="K20" s="81"/>
      <c r="L20" s="81"/>
      <c r="M20" s="81"/>
      <c r="N20" s="81"/>
      <c r="O20" s="81"/>
      <c r="P20" s="81"/>
      <c r="Q20" s="81"/>
      <c r="R20" s="81"/>
      <c r="S20" s="81"/>
      <c r="T20" s="81"/>
      <c r="U20" s="81"/>
      <c r="V20" s="81"/>
      <c r="W20" s="81"/>
      <c r="X20" s="81"/>
      <c r="Y20" s="81"/>
      <c r="Z20" s="81"/>
      <c r="AA20" s="81"/>
      <c r="AB20" s="81"/>
      <c r="AC20" s="81"/>
    </row>
    <row r="21" spans="1:29" x14ac:dyDescent="0.25">
      <c r="A21" s="108" t="s">
        <v>23</v>
      </c>
      <c r="B21" s="109" t="s">
        <v>52</v>
      </c>
      <c r="C21" s="116" t="s">
        <v>53</v>
      </c>
      <c r="D21" s="117" t="s">
        <v>26</v>
      </c>
      <c r="E21" s="117" t="s">
        <v>54</v>
      </c>
      <c r="F21" s="119">
        <v>108</v>
      </c>
      <c r="G21" s="121">
        <v>2500</v>
      </c>
      <c r="H21" s="122">
        <v>270000</v>
      </c>
      <c r="I21" s="109" t="s">
        <v>36</v>
      </c>
      <c r="J21" s="108"/>
      <c r="K21" s="81"/>
      <c r="L21" s="81"/>
      <c r="M21" s="81"/>
      <c r="N21" s="81"/>
      <c r="O21" s="81"/>
      <c r="P21" s="81"/>
      <c r="Q21" s="81"/>
      <c r="R21" s="81"/>
      <c r="S21" s="81"/>
      <c r="T21" s="81"/>
      <c r="U21" s="81"/>
      <c r="V21" s="81"/>
      <c r="W21" s="81"/>
      <c r="X21" s="81"/>
      <c r="Y21" s="81"/>
      <c r="Z21" s="81"/>
      <c r="AA21" s="81"/>
      <c r="AB21" s="81"/>
      <c r="AC21" s="81"/>
    </row>
    <row r="22" spans="1:29" ht="30" x14ac:dyDescent="0.25">
      <c r="A22" s="108" t="s">
        <v>23</v>
      </c>
      <c r="B22" s="109" t="s">
        <v>52</v>
      </c>
      <c r="C22" s="116" t="s">
        <v>55</v>
      </c>
      <c r="D22" s="117" t="s">
        <v>26</v>
      </c>
      <c r="E22" s="112" t="s">
        <v>45</v>
      </c>
      <c r="F22" s="112" t="s">
        <v>45</v>
      </c>
      <c r="G22" s="112" t="s">
        <v>45</v>
      </c>
      <c r="H22" s="122">
        <v>305625</v>
      </c>
      <c r="I22" s="109" t="s">
        <v>36</v>
      </c>
      <c r="J22" s="108"/>
      <c r="K22" s="81"/>
      <c r="L22" s="81"/>
      <c r="M22" s="81"/>
      <c r="N22" s="81"/>
      <c r="O22" s="81"/>
      <c r="P22" s="81"/>
      <c r="Q22" s="81"/>
      <c r="R22" s="81"/>
      <c r="S22" s="81"/>
      <c r="T22" s="81"/>
      <c r="U22" s="81"/>
      <c r="V22" s="81"/>
      <c r="W22" s="81"/>
      <c r="X22" s="81"/>
      <c r="Y22" s="81"/>
      <c r="Z22" s="81"/>
      <c r="AA22" s="81"/>
      <c r="AB22" s="81"/>
      <c r="AC22" s="81"/>
    </row>
    <row r="23" spans="1:29" x14ac:dyDescent="0.25">
      <c r="A23" s="108" t="s">
        <v>23</v>
      </c>
      <c r="B23" s="109" t="s">
        <v>52</v>
      </c>
      <c r="C23" s="116" t="s">
        <v>56</v>
      </c>
      <c r="D23" s="117" t="s">
        <v>49</v>
      </c>
      <c r="E23" s="117" t="s">
        <v>54</v>
      </c>
      <c r="F23" s="119">
        <v>4</v>
      </c>
      <c r="G23" s="121">
        <v>4063</v>
      </c>
      <c r="H23" s="122">
        <v>16252</v>
      </c>
      <c r="I23" s="109" t="s">
        <v>36</v>
      </c>
      <c r="J23" s="108"/>
      <c r="K23" s="81"/>
      <c r="L23" s="81"/>
      <c r="M23" s="81"/>
      <c r="N23" s="81"/>
      <c r="O23" s="81"/>
      <c r="P23" s="81"/>
      <c r="Q23" s="81"/>
      <c r="R23" s="81"/>
      <c r="S23" s="81"/>
      <c r="T23" s="81"/>
      <c r="U23" s="81"/>
      <c r="V23" s="81"/>
      <c r="W23" s="81"/>
      <c r="X23" s="81"/>
      <c r="Y23" s="81"/>
      <c r="Z23" s="81"/>
      <c r="AA23" s="81"/>
      <c r="AB23" s="81"/>
      <c r="AC23" s="81"/>
    </row>
    <row r="24" spans="1:29" ht="30" x14ac:dyDescent="0.25">
      <c r="A24" s="92" t="s">
        <v>23</v>
      </c>
      <c r="B24" s="98" t="s">
        <v>52</v>
      </c>
      <c r="C24" s="94" t="s">
        <v>57</v>
      </c>
      <c r="D24" s="84" t="s">
        <v>49</v>
      </c>
      <c r="E24" s="84" t="s">
        <v>45</v>
      </c>
      <c r="F24" s="84" t="s">
        <v>45</v>
      </c>
      <c r="G24" s="84" t="s">
        <v>45</v>
      </c>
      <c r="H24" s="97">
        <v>142600</v>
      </c>
      <c r="I24" s="98" t="s">
        <v>36</v>
      </c>
      <c r="J24" s="92"/>
      <c r="K24" s="81"/>
      <c r="L24" s="81"/>
      <c r="M24" s="81"/>
      <c r="N24" s="81"/>
      <c r="O24" s="81"/>
      <c r="P24" s="81"/>
      <c r="Q24" s="81"/>
      <c r="R24" s="81"/>
      <c r="S24" s="81"/>
      <c r="T24" s="81"/>
      <c r="U24" s="81"/>
      <c r="V24" s="81"/>
      <c r="W24" s="81"/>
      <c r="X24" s="81"/>
      <c r="Y24" s="81"/>
      <c r="Z24" s="81"/>
      <c r="AA24" s="85"/>
      <c r="AB24" s="81"/>
      <c r="AC24" s="81"/>
    </row>
    <row r="25" spans="1:29" x14ac:dyDescent="0.25">
      <c r="A25" s="92" t="s">
        <v>23</v>
      </c>
      <c r="B25" s="98" t="s">
        <v>52</v>
      </c>
      <c r="C25" s="94" t="s">
        <v>58</v>
      </c>
      <c r="D25" s="82" t="s">
        <v>51</v>
      </c>
      <c r="E25" s="82" t="s">
        <v>54</v>
      </c>
      <c r="F25" s="81">
        <v>3</v>
      </c>
      <c r="G25" s="83">
        <v>6300</v>
      </c>
      <c r="H25" s="96">
        <v>18900</v>
      </c>
      <c r="I25" s="98" t="s">
        <v>36</v>
      </c>
      <c r="J25" s="92"/>
      <c r="K25" s="81"/>
      <c r="L25" s="81"/>
      <c r="M25" s="81"/>
      <c r="N25" s="81"/>
      <c r="O25" s="81"/>
      <c r="P25" s="81"/>
      <c r="Q25" s="81"/>
      <c r="R25" s="81"/>
      <c r="S25" s="81"/>
      <c r="T25" s="81"/>
      <c r="U25" s="81"/>
      <c r="V25" s="81"/>
      <c r="W25" s="81"/>
      <c r="X25" s="81"/>
      <c r="Y25" s="81"/>
      <c r="Z25" s="81"/>
      <c r="AA25" s="81"/>
      <c r="AB25" s="81"/>
      <c r="AC25" s="81"/>
    </row>
    <row r="26" spans="1:29" x14ac:dyDescent="0.25">
      <c r="A26" s="8" t="s">
        <v>59</v>
      </c>
      <c r="B26" s="110" t="s">
        <v>60</v>
      </c>
      <c r="C26" s="8" t="s">
        <v>61</v>
      </c>
      <c r="D26" s="8" t="s">
        <v>26</v>
      </c>
      <c r="E26" s="118" t="s">
        <v>62</v>
      </c>
      <c r="F26" s="8">
        <v>62</v>
      </c>
      <c r="G26" s="120">
        <v>400</v>
      </c>
      <c r="H26" s="123">
        <f>G26*F26</f>
        <v>24800</v>
      </c>
      <c r="I26" s="110" t="s">
        <v>36</v>
      </c>
      <c r="J26" s="8" t="s">
        <v>63</v>
      </c>
      <c r="K26" s="8"/>
      <c r="L26" s="8"/>
      <c r="M26" s="8"/>
      <c r="N26" s="8"/>
      <c r="O26" s="8"/>
      <c r="P26" s="8"/>
      <c r="Q26" s="8"/>
      <c r="R26" s="8"/>
      <c r="S26" s="8"/>
      <c r="T26" s="8"/>
      <c r="U26" s="8"/>
      <c r="V26" s="8"/>
      <c r="W26" s="8"/>
      <c r="X26" s="8"/>
      <c r="Y26" s="8"/>
      <c r="Z26" s="8"/>
      <c r="AA26" s="8"/>
      <c r="AB26" s="8"/>
      <c r="AC26" s="8"/>
    </row>
    <row r="27" spans="1:29" s="129" customFormat="1" x14ac:dyDescent="0.25">
      <c r="A27" s="127" t="s">
        <v>59</v>
      </c>
      <c r="B27" s="128" t="s">
        <v>60</v>
      </c>
      <c r="C27" s="127" t="s">
        <v>64</v>
      </c>
      <c r="D27" s="129" t="s">
        <v>26</v>
      </c>
      <c r="E27" s="130" t="s">
        <v>62</v>
      </c>
      <c r="F27" s="129">
        <v>165</v>
      </c>
      <c r="G27" s="131">
        <v>300</v>
      </c>
      <c r="H27" s="132">
        <f>G27*F27</f>
        <v>49500</v>
      </c>
      <c r="I27" s="128" t="s">
        <v>36</v>
      </c>
      <c r="J27" s="127" t="s">
        <v>65</v>
      </c>
    </row>
    <row r="28" spans="1:29" s="129" customFormat="1" x14ac:dyDescent="0.25">
      <c r="A28" s="127" t="s">
        <v>59</v>
      </c>
      <c r="B28" s="128" t="s">
        <v>60</v>
      </c>
      <c r="C28" s="127" t="s">
        <v>64</v>
      </c>
      <c r="D28" s="129" t="s">
        <v>49</v>
      </c>
      <c r="E28" s="130" t="s">
        <v>62</v>
      </c>
      <c r="F28" s="129">
        <v>51</v>
      </c>
      <c r="G28" s="131">
        <v>300</v>
      </c>
      <c r="H28" s="132">
        <f t="shared" ref="H28:H29" si="0">G28*F28</f>
        <v>15300</v>
      </c>
      <c r="I28" s="128" t="s">
        <v>36</v>
      </c>
      <c r="J28" s="127" t="s">
        <v>66</v>
      </c>
    </row>
    <row r="29" spans="1:29" s="129" customFormat="1" x14ac:dyDescent="0.25">
      <c r="A29" s="127" t="s">
        <v>59</v>
      </c>
      <c r="B29" s="128" t="s">
        <v>60</v>
      </c>
      <c r="C29" s="127" t="s">
        <v>64</v>
      </c>
      <c r="D29" s="129" t="s">
        <v>67</v>
      </c>
      <c r="E29" s="130" t="s">
        <v>62</v>
      </c>
      <c r="F29" s="129">
        <v>171</v>
      </c>
      <c r="G29" s="131">
        <v>300</v>
      </c>
      <c r="H29" s="132">
        <f t="shared" si="0"/>
        <v>51300</v>
      </c>
      <c r="I29" s="128" t="s">
        <v>36</v>
      </c>
      <c r="J29" s="127" t="s">
        <v>66</v>
      </c>
    </row>
    <row r="30" spans="1:29" x14ac:dyDescent="0.25">
      <c r="A30" s="8" t="s">
        <v>59</v>
      </c>
      <c r="B30" s="110" t="s">
        <v>68</v>
      </c>
      <c r="C30" s="8" t="s">
        <v>69</v>
      </c>
      <c r="D30" t="s">
        <v>26</v>
      </c>
      <c r="E30" s="1" t="s">
        <v>62</v>
      </c>
      <c r="F30">
        <v>86</v>
      </c>
      <c r="G30" s="113">
        <v>400</v>
      </c>
      <c r="H30" s="115">
        <f>G30*F30</f>
        <v>34400</v>
      </c>
      <c r="I30" s="110" t="s">
        <v>36</v>
      </c>
      <c r="J30" s="8" t="s">
        <v>70</v>
      </c>
    </row>
    <row r="31" spans="1:29" x14ac:dyDescent="0.25">
      <c r="A31" s="8" t="s">
        <v>59</v>
      </c>
      <c r="B31" s="110" t="s">
        <v>68</v>
      </c>
      <c r="C31" s="8" t="s">
        <v>71</v>
      </c>
      <c r="D31" t="s">
        <v>49</v>
      </c>
      <c r="E31" s="1" t="s">
        <v>62</v>
      </c>
      <c r="F31">
        <v>17</v>
      </c>
      <c r="G31" s="113">
        <v>400</v>
      </c>
      <c r="H31" s="115">
        <v>6800</v>
      </c>
      <c r="I31" s="110" t="s">
        <v>36</v>
      </c>
      <c r="J31" s="8" t="s">
        <v>72</v>
      </c>
    </row>
    <row r="32" spans="1:29" x14ac:dyDescent="0.25">
      <c r="A32" s="8" t="s">
        <v>59</v>
      </c>
      <c r="B32" s="110" t="s">
        <v>68</v>
      </c>
      <c r="C32" s="8" t="s">
        <v>71</v>
      </c>
      <c r="D32" t="s">
        <v>67</v>
      </c>
      <c r="E32" s="1" t="s">
        <v>62</v>
      </c>
      <c r="F32">
        <v>57</v>
      </c>
      <c r="G32" s="113">
        <v>400</v>
      </c>
      <c r="H32" s="115">
        <v>22800</v>
      </c>
      <c r="I32" s="110" t="s">
        <v>36</v>
      </c>
      <c r="J32" s="8" t="s">
        <v>72</v>
      </c>
    </row>
    <row r="33" spans="1:10" x14ac:dyDescent="0.25">
      <c r="A33" s="59"/>
      <c r="B33" s="60"/>
      <c r="C33" s="74"/>
      <c r="D33" s="74"/>
      <c r="E33" s="75"/>
      <c r="F33" s="74"/>
      <c r="G33" s="74"/>
      <c r="H33" s="74"/>
      <c r="I33" s="60"/>
      <c r="J33" s="74"/>
    </row>
    <row r="34" spans="1:10" x14ac:dyDescent="0.25">
      <c r="A34" s="59"/>
      <c r="B34" s="60"/>
      <c r="C34" s="74"/>
      <c r="D34" s="74"/>
      <c r="E34" s="75"/>
      <c r="F34" s="74"/>
      <c r="G34" s="74"/>
      <c r="H34" s="74"/>
      <c r="I34" s="60"/>
      <c r="J34" s="74"/>
    </row>
    <row r="35" spans="1:10" x14ac:dyDescent="0.25">
      <c r="A35" s="59"/>
      <c r="B35" s="60"/>
      <c r="C35" s="74"/>
      <c r="D35" s="74"/>
      <c r="E35" s="75"/>
      <c r="F35" s="74"/>
      <c r="G35" s="74"/>
      <c r="H35" s="74"/>
      <c r="I35" s="60"/>
      <c r="J35" s="74"/>
    </row>
    <row r="36" spans="1:10" x14ac:dyDescent="0.25">
      <c r="A36" s="59"/>
      <c r="B36" s="60"/>
      <c r="C36" s="74"/>
      <c r="D36" s="74"/>
      <c r="E36" s="75"/>
      <c r="F36" s="74"/>
      <c r="G36" s="74"/>
      <c r="H36" s="74"/>
      <c r="I36" s="60"/>
      <c r="J36" s="74"/>
    </row>
    <row r="37" spans="1:10" x14ac:dyDescent="0.25">
      <c r="A37" s="59"/>
      <c r="B37" s="60"/>
      <c r="C37" s="74"/>
      <c r="D37" s="74"/>
      <c r="E37" s="75"/>
      <c r="F37" s="74"/>
      <c r="G37" s="74"/>
      <c r="H37" s="74"/>
      <c r="I37" s="60"/>
      <c r="J37" s="74"/>
    </row>
    <row r="38" spans="1:10" x14ac:dyDescent="0.25">
      <c r="A38" s="59"/>
      <c r="B38" s="60"/>
      <c r="C38" s="74"/>
      <c r="D38" s="74"/>
      <c r="E38" s="75"/>
      <c r="F38" s="74"/>
      <c r="G38" s="74"/>
      <c r="H38" s="74"/>
      <c r="I38" s="74"/>
      <c r="J38" s="74"/>
    </row>
    <row r="39" spans="1:10" x14ac:dyDescent="0.25">
      <c r="A39" s="59"/>
      <c r="B39" s="60"/>
      <c r="C39" s="74"/>
      <c r="D39" s="74"/>
      <c r="E39" s="75"/>
      <c r="F39" s="74"/>
      <c r="G39" s="74"/>
      <c r="H39" s="74"/>
      <c r="I39" s="74"/>
      <c r="J39" s="74"/>
    </row>
    <row r="40" spans="1:10" x14ac:dyDescent="0.25">
      <c r="A40" s="59"/>
      <c r="B40" s="60"/>
      <c r="C40" s="74"/>
      <c r="D40" s="74"/>
      <c r="E40" s="75"/>
      <c r="F40" s="74"/>
      <c r="G40" s="74"/>
      <c r="H40" s="74"/>
      <c r="I40" s="74"/>
      <c r="J40" s="74"/>
    </row>
    <row r="41" spans="1:10" x14ac:dyDescent="0.25">
      <c r="A41" s="59"/>
      <c r="B41" s="60"/>
      <c r="C41" s="74"/>
      <c r="D41" s="74"/>
      <c r="E41" s="75"/>
      <c r="F41" s="74"/>
      <c r="G41" s="74"/>
      <c r="H41" s="74"/>
      <c r="I41" s="74"/>
      <c r="J41" s="74"/>
    </row>
    <row r="42" spans="1:10" x14ac:dyDescent="0.25">
      <c r="A42" s="59"/>
      <c r="B42" s="60"/>
      <c r="C42" s="74"/>
      <c r="D42" s="74"/>
      <c r="E42" s="75"/>
      <c r="F42" s="74"/>
      <c r="G42" s="74"/>
      <c r="H42" s="74"/>
      <c r="I42" s="74"/>
      <c r="J42" s="74"/>
    </row>
    <row r="43" spans="1:10" x14ac:dyDescent="0.25">
      <c r="A43" s="59"/>
      <c r="B43" s="60"/>
      <c r="C43" s="74"/>
      <c r="D43" s="74"/>
      <c r="E43" s="75"/>
      <c r="F43" s="74"/>
      <c r="G43" s="74"/>
      <c r="H43" s="74"/>
      <c r="I43" s="74"/>
      <c r="J43" s="74"/>
    </row>
    <row r="44" spans="1:10" x14ac:dyDescent="0.25">
      <c r="A44" s="59"/>
      <c r="B44" s="60"/>
      <c r="C44" s="74"/>
      <c r="D44" s="74"/>
      <c r="E44" s="75"/>
      <c r="F44" s="74"/>
      <c r="G44" s="74"/>
      <c r="H44" s="74"/>
      <c r="I44" s="74"/>
      <c r="J44" s="74"/>
    </row>
    <row r="45" spans="1:10" x14ac:dyDescent="0.25">
      <c r="A45" s="59"/>
      <c r="B45" s="60"/>
      <c r="C45" s="74"/>
      <c r="D45" s="74"/>
      <c r="E45" s="75"/>
      <c r="F45" s="74"/>
      <c r="G45" s="74"/>
      <c r="H45" s="74"/>
      <c r="I45" s="74"/>
      <c r="J45" s="74"/>
    </row>
    <row r="46" spans="1:10" x14ac:dyDescent="0.25">
      <c r="A46" s="59"/>
      <c r="B46" s="60"/>
      <c r="C46" s="74"/>
      <c r="D46" s="74"/>
      <c r="E46" s="75"/>
      <c r="F46" s="74"/>
      <c r="G46" s="74"/>
      <c r="H46" s="74"/>
      <c r="I46" s="74"/>
      <c r="J46" s="74"/>
    </row>
    <row r="47" spans="1:10" x14ac:dyDescent="0.25">
      <c r="A47" s="59"/>
      <c r="B47" s="60"/>
      <c r="C47" s="74"/>
      <c r="D47" s="74"/>
      <c r="E47" s="75"/>
      <c r="F47" s="74"/>
      <c r="G47" s="74"/>
      <c r="H47" s="74"/>
      <c r="I47" s="74"/>
      <c r="J47" s="74"/>
    </row>
    <row r="48" spans="1:10" x14ac:dyDescent="0.25">
      <c r="A48" s="59"/>
      <c r="B48" s="60"/>
      <c r="C48" s="74"/>
      <c r="D48" s="74"/>
      <c r="E48" s="75"/>
      <c r="F48" s="74"/>
      <c r="G48" s="74"/>
      <c r="H48" s="74"/>
      <c r="I48" s="74"/>
      <c r="J48" s="74"/>
    </row>
    <row r="49" spans="1:10" x14ac:dyDescent="0.25">
      <c r="A49" s="59"/>
      <c r="B49" s="60"/>
      <c r="C49" s="74"/>
      <c r="D49" s="74"/>
      <c r="E49" s="75"/>
      <c r="F49" s="74"/>
      <c r="G49" s="74"/>
      <c r="H49" s="74"/>
      <c r="I49" s="74"/>
      <c r="J49" s="74"/>
    </row>
    <row r="50" spans="1:10" x14ac:dyDescent="0.25">
      <c r="A50" s="59"/>
      <c r="B50" s="60"/>
      <c r="C50" s="74"/>
      <c r="D50" s="74"/>
      <c r="E50" s="75"/>
      <c r="F50" s="74"/>
      <c r="G50" s="74"/>
      <c r="H50" s="74"/>
      <c r="I50" s="74"/>
      <c r="J50" s="74"/>
    </row>
    <row r="51" spans="1:10" x14ac:dyDescent="0.25">
      <c r="A51" s="59"/>
      <c r="B51" s="60"/>
      <c r="C51" s="74"/>
      <c r="D51" s="74"/>
      <c r="E51" s="75"/>
      <c r="F51" s="74"/>
      <c r="G51" s="74"/>
      <c r="H51" s="74"/>
      <c r="I51" s="74"/>
      <c r="J51" s="74"/>
    </row>
    <row r="52" spans="1:10" x14ac:dyDescent="0.25">
      <c r="A52" s="59"/>
      <c r="B52" s="60"/>
      <c r="C52" s="74"/>
      <c r="D52" s="74"/>
      <c r="E52" s="75"/>
      <c r="F52" s="74"/>
      <c r="G52" s="74"/>
      <c r="H52" s="74"/>
      <c r="I52" s="74"/>
      <c r="J52" s="74"/>
    </row>
    <row r="53" spans="1:10" x14ac:dyDescent="0.25">
      <c r="A53" s="59"/>
      <c r="B53" s="60"/>
      <c r="C53" s="74"/>
      <c r="D53" s="74"/>
      <c r="E53" s="75"/>
      <c r="F53" s="74"/>
      <c r="G53" s="74"/>
      <c r="H53" s="74"/>
      <c r="I53" s="74"/>
      <c r="J53" s="74"/>
    </row>
    <row r="54" spans="1:10" x14ac:dyDescent="0.25">
      <c r="A54" s="59"/>
      <c r="B54" s="60"/>
      <c r="C54" s="74"/>
      <c r="D54" s="74"/>
      <c r="E54" s="75"/>
      <c r="F54" s="74"/>
      <c r="G54" s="74"/>
      <c r="H54" s="74"/>
      <c r="I54" s="74"/>
      <c r="J54" s="74"/>
    </row>
    <row r="55" spans="1:10" x14ac:dyDescent="0.25">
      <c r="A55" s="59"/>
      <c r="B55" s="60"/>
      <c r="C55" s="74"/>
      <c r="D55" s="74"/>
      <c r="E55" s="75"/>
      <c r="F55" s="74"/>
      <c r="G55" s="74"/>
      <c r="H55" s="74"/>
      <c r="I55" s="74"/>
      <c r="J55" s="74"/>
    </row>
    <row r="56" spans="1:10" x14ac:dyDescent="0.25">
      <c r="A56" s="59"/>
      <c r="B56" s="60"/>
      <c r="C56" s="74"/>
      <c r="D56" s="74"/>
      <c r="E56" s="75"/>
      <c r="F56" s="74"/>
      <c r="G56" s="74"/>
      <c r="H56" s="74"/>
      <c r="I56" s="74"/>
      <c r="J56" s="74"/>
    </row>
    <row r="57" spans="1:10" x14ac:dyDescent="0.25">
      <c r="A57" s="59"/>
      <c r="B57" s="60"/>
      <c r="C57" s="74"/>
      <c r="D57" s="74"/>
      <c r="E57" s="75"/>
      <c r="F57" s="74"/>
      <c r="G57" s="74"/>
      <c r="H57" s="74"/>
      <c r="I57" s="74"/>
      <c r="J57" s="74"/>
    </row>
    <row r="58" spans="1:10" x14ac:dyDescent="0.25">
      <c r="A58" s="59"/>
      <c r="B58" s="60"/>
      <c r="C58" s="74"/>
      <c r="D58" s="74"/>
      <c r="E58" s="75"/>
      <c r="F58" s="74"/>
      <c r="G58" s="74"/>
      <c r="H58" s="74"/>
      <c r="I58" s="74"/>
      <c r="J58" s="74"/>
    </row>
    <row r="59" spans="1:10" x14ac:dyDescent="0.25">
      <c r="A59" s="59"/>
      <c r="B59" s="60"/>
      <c r="C59" s="74"/>
      <c r="D59" s="74"/>
      <c r="E59" s="75"/>
      <c r="F59" s="74"/>
      <c r="G59" s="74"/>
      <c r="H59" s="74"/>
      <c r="I59" s="74"/>
      <c r="J59" s="74"/>
    </row>
    <row r="60" spans="1:10" x14ac:dyDescent="0.25">
      <c r="A60" s="59"/>
      <c r="B60" s="60"/>
      <c r="C60" s="74"/>
      <c r="D60" s="74"/>
      <c r="E60" s="75"/>
      <c r="F60" s="74"/>
      <c r="G60" s="74"/>
      <c r="H60" s="74"/>
      <c r="I60" s="74"/>
      <c r="J60" s="74"/>
    </row>
    <row r="61" spans="1:10" x14ac:dyDescent="0.25">
      <c r="A61" s="59"/>
      <c r="B61" s="60"/>
      <c r="C61" s="74"/>
      <c r="D61" s="74"/>
      <c r="E61" s="75"/>
      <c r="F61" s="74"/>
      <c r="G61" s="74"/>
      <c r="H61" s="74"/>
      <c r="I61" s="74"/>
      <c r="J61" s="74"/>
    </row>
    <row r="62" spans="1:10" x14ac:dyDescent="0.25">
      <c r="A62" s="59"/>
      <c r="B62" s="60"/>
      <c r="C62" s="74"/>
      <c r="D62" s="74"/>
      <c r="E62" s="75"/>
      <c r="F62" s="74"/>
      <c r="G62" s="74"/>
      <c r="H62" s="74"/>
      <c r="I62" s="74"/>
      <c r="J62" s="74"/>
    </row>
    <row r="63" spans="1:10" x14ac:dyDescent="0.25">
      <c r="A63" s="59"/>
      <c r="B63" s="60"/>
      <c r="C63" s="74"/>
      <c r="D63" s="74"/>
      <c r="E63" s="75"/>
      <c r="F63" s="74"/>
      <c r="G63" s="74"/>
      <c r="H63" s="74"/>
      <c r="I63" s="74"/>
      <c r="J63" s="74"/>
    </row>
    <row r="64" spans="1:10" x14ac:dyDescent="0.25">
      <c r="A64" s="8"/>
      <c r="B64" s="44"/>
    </row>
    <row r="65" spans="1:2" x14ac:dyDescent="0.25">
      <c r="A65" s="8"/>
      <c r="B65" s="44"/>
    </row>
    <row r="66" spans="1:2" x14ac:dyDescent="0.25">
      <c r="A66" s="8"/>
      <c r="B66" s="44"/>
    </row>
    <row r="67" spans="1:2" x14ac:dyDescent="0.25">
      <c r="A67" s="8"/>
      <c r="B67" s="44"/>
    </row>
    <row r="68" spans="1:2" x14ac:dyDescent="0.25">
      <c r="A68" s="8"/>
      <c r="B68" s="44"/>
    </row>
    <row r="69" spans="1:2" x14ac:dyDescent="0.25">
      <c r="A69" s="8"/>
      <c r="B69" s="44"/>
    </row>
    <row r="70" spans="1:2" x14ac:dyDescent="0.25">
      <c r="A70" s="8"/>
      <c r="B70" s="44"/>
    </row>
    <row r="71" spans="1:2" x14ac:dyDescent="0.25">
      <c r="A71" s="8"/>
      <c r="B71" s="44"/>
    </row>
    <row r="72" spans="1:2" x14ac:dyDescent="0.25">
      <c r="A72" s="8"/>
      <c r="B72" s="44"/>
    </row>
    <row r="73" spans="1:2" x14ac:dyDescent="0.25">
      <c r="A73" s="8"/>
      <c r="B73" s="44"/>
    </row>
    <row r="74" spans="1:2" x14ac:dyDescent="0.25">
      <c r="A74" s="8"/>
      <c r="B74" s="44"/>
    </row>
    <row r="75" spans="1:2" x14ac:dyDescent="0.25">
      <c r="A75" s="8"/>
      <c r="B75" s="44"/>
    </row>
    <row r="76" spans="1:2" x14ac:dyDescent="0.25">
      <c r="A76" s="8"/>
      <c r="B76" s="44"/>
    </row>
    <row r="77" spans="1:2" x14ac:dyDescent="0.25">
      <c r="A77" s="8"/>
      <c r="B77" s="44"/>
    </row>
    <row r="78" spans="1:2" x14ac:dyDescent="0.25">
      <c r="A78" s="8"/>
      <c r="B78" s="44"/>
    </row>
    <row r="79" spans="1:2" x14ac:dyDescent="0.25">
      <c r="A79" s="8"/>
      <c r="B79" s="44"/>
    </row>
    <row r="80" spans="1:2" x14ac:dyDescent="0.25">
      <c r="A80" s="8"/>
      <c r="B80" s="44"/>
    </row>
    <row r="81" spans="1:2" x14ac:dyDescent="0.25">
      <c r="A81" s="8"/>
      <c r="B81" s="44"/>
    </row>
    <row r="82" spans="1:2" x14ac:dyDescent="0.25">
      <c r="A82" s="8"/>
      <c r="B82" s="44"/>
    </row>
    <row r="83" spans="1:2" x14ac:dyDescent="0.25">
      <c r="A83" s="8"/>
      <c r="B83" s="44"/>
    </row>
    <row r="84" spans="1:2" x14ac:dyDescent="0.25">
      <c r="A84" s="8"/>
      <c r="B84" s="44"/>
    </row>
    <row r="85" spans="1:2" x14ac:dyDescent="0.25">
      <c r="A85" s="8"/>
      <c r="B85" s="44"/>
    </row>
    <row r="86" spans="1:2" x14ac:dyDescent="0.25">
      <c r="A86" s="8"/>
      <c r="B86" s="44"/>
    </row>
    <row r="87" spans="1:2" x14ac:dyDescent="0.25">
      <c r="A87" s="8"/>
      <c r="B87" s="44"/>
    </row>
    <row r="88" spans="1:2" x14ac:dyDescent="0.25">
      <c r="A88" s="8"/>
      <c r="B88" s="44"/>
    </row>
    <row r="89" spans="1:2" x14ac:dyDescent="0.25">
      <c r="A89" s="8"/>
      <c r="B89" s="44"/>
    </row>
    <row r="90" spans="1:2" x14ac:dyDescent="0.25">
      <c r="A90" s="8"/>
      <c r="B90" s="44"/>
    </row>
    <row r="91" spans="1:2" x14ac:dyDescent="0.25">
      <c r="A91" s="8"/>
      <c r="B91" s="44"/>
    </row>
    <row r="92" spans="1:2" x14ac:dyDescent="0.25">
      <c r="A92" s="8"/>
      <c r="B92" s="44"/>
    </row>
    <row r="93" spans="1:2" x14ac:dyDescent="0.25">
      <c r="A93" s="8"/>
      <c r="B93" s="44"/>
    </row>
    <row r="94" spans="1:2" x14ac:dyDescent="0.25">
      <c r="A94" s="8"/>
      <c r="B94" s="44"/>
    </row>
    <row r="95" spans="1:2" x14ac:dyDescent="0.25">
      <c r="A95" s="8"/>
      <c r="B95" s="44"/>
    </row>
    <row r="96" spans="1:2" x14ac:dyDescent="0.25">
      <c r="A96" s="8"/>
      <c r="B96" s="44"/>
    </row>
    <row r="97" spans="1:2" x14ac:dyDescent="0.25">
      <c r="A97" s="8"/>
      <c r="B97" s="44"/>
    </row>
    <row r="98" spans="1:2" x14ac:dyDescent="0.25">
      <c r="A98" s="8"/>
      <c r="B98" s="44"/>
    </row>
    <row r="99" spans="1:2" x14ac:dyDescent="0.25">
      <c r="A99" s="8"/>
      <c r="B99" s="44"/>
    </row>
    <row r="100" spans="1:2" x14ac:dyDescent="0.25">
      <c r="A100" s="8"/>
      <c r="B100" s="44"/>
    </row>
    <row r="101" spans="1:2" x14ac:dyDescent="0.25">
      <c r="A101" s="8"/>
      <c r="B101" s="44"/>
    </row>
    <row r="102" spans="1:2" x14ac:dyDescent="0.25">
      <c r="A102" s="8"/>
      <c r="B102" s="44"/>
    </row>
    <row r="103" spans="1:2" x14ac:dyDescent="0.25">
      <c r="A103" s="8"/>
      <c r="B103" s="44"/>
    </row>
    <row r="104" spans="1:2" x14ac:dyDescent="0.25">
      <c r="A104" s="8"/>
      <c r="B104" s="44"/>
    </row>
    <row r="105" spans="1:2" x14ac:dyDescent="0.25">
      <c r="A105" s="8"/>
      <c r="B105" s="44"/>
    </row>
    <row r="106" spans="1:2" x14ac:dyDescent="0.25">
      <c r="A106" s="8"/>
      <c r="B106" s="44"/>
    </row>
    <row r="107" spans="1:2" x14ac:dyDescent="0.25">
      <c r="A107" s="8"/>
      <c r="B107" s="44"/>
    </row>
    <row r="108" spans="1:2" x14ac:dyDescent="0.25">
      <c r="A108" s="8"/>
      <c r="B108" s="44"/>
    </row>
    <row r="109" spans="1:2" x14ac:dyDescent="0.25">
      <c r="A109" s="8"/>
      <c r="B109" s="44"/>
    </row>
    <row r="110" spans="1:2" x14ac:dyDescent="0.25">
      <c r="A110" s="8"/>
      <c r="B110" s="44"/>
    </row>
    <row r="111" spans="1:2" x14ac:dyDescent="0.25">
      <c r="A111" s="8"/>
      <c r="B111" s="44"/>
    </row>
    <row r="112" spans="1:2" x14ac:dyDescent="0.25">
      <c r="A112" s="8"/>
      <c r="B112" s="44"/>
    </row>
    <row r="113" spans="1:2" x14ac:dyDescent="0.25">
      <c r="A113" s="8"/>
      <c r="B113" s="44"/>
    </row>
    <row r="114" spans="1:2" x14ac:dyDescent="0.25">
      <c r="A114" s="8"/>
      <c r="B114" s="44"/>
    </row>
    <row r="115" spans="1:2" x14ac:dyDescent="0.25">
      <c r="A115" s="8"/>
      <c r="B115" s="44"/>
    </row>
    <row r="116" spans="1:2" x14ac:dyDescent="0.25">
      <c r="A116" s="8"/>
      <c r="B116" s="44"/>
    </row>
    <row r="117" spans="1:2" x14ac:dyDescent="0.25">
      <c r="A117" s="8"/>
      <c r="B117" s="44"/>
    </row>
    <row r="118" spans="1:2" x14ac:dyDescent="0.25">
      <c r="A118" s="8"/>
      <c r="B118" s="44"/>
    </row>
    <row r="119" spans="1:2" x14ac:dyDescent="0.25">
      <c r="A119" s="8"/>
      <c r="B119" s="44"/>
    </row>
    <row r="120" spans="1:2" x14ac:dyDescent="0.25">
      <c r="A120" s="8"/>
      <c r="B120" s="44"/>
    </row>
    <row r="121" spans="1:2" x14ac:dyDescent="0.25">
      <c r="A121" s="8"/>
      <c r="B121" s="44"/>
    </row>
    <row r="122" spans="1:2" x14ac:dyDescent="0.25">
      <c r="A122" s="8"/>
      <c r="B122" s="44"/>
    </row>
    <row r="123" spans="1:2" x14ac:dyDescent="0.25">
      <c r="A123" s="8"/>
      <c r="B123" s="44"/>
    </row>
    <row r="124" spans="1:2" x14ac:dyDescent="0.25">
      <c r="A124" s="8"/>
      <c r="B124" s="44"/>
    </row>
    <row r="125" spans="1:2" x14ac:dyDescent="0.25">
      <c r="A125" s="8"/>
      <c r="B125" s="44"/>
    </row>
    <row r="126" spans="1:2" x14ac:dyDescent="0.25">
      <c r="A126" s="8"/>
      <c r="B126" s="44"/>
    </row>
    <row r="127" spans="1:2" x14ac:dyDescent="0.25">
      <c r="A127" s="8"/>
      <c r="B127" s="44"/>
    </row>
    <row r="128" spans="1:2" x14ac:dyDescent="0.25">
      <c r="A128" s="8"/>
      <c r="B128" s="44"/>
    </row>
    <row r="129" spans="1:2" x14ac:dyDescent="0.25">
      <c r="A129" s="8"/>
      <c r="B129" s="44"/>
    </row>
    <row r="130" spans="1:2" x14ac:dyDescent="0.25">
      <c r="A130" s="8"/>
      <c r="B130" s="44"/>
    </row>
    <row r="131" spans="1:2" x14ac:dyDescent="0.25">
      <c r="A131" s="8"/>
      <c r="B131" s="44"/>
    </row>
    <row r="132" spans="1:2" x14ac:dyDescent="0.25">
      <c r="A132" s="8"/>
      <c r="B132" s="44"/>
    </row>
    <row r="133" spans="1:2" x14ac:dyDescent="0.25">
      <c r="A133" s="8"/>
      <c r="B133" s="44"/>
    </row>
    <row r="134" spans="1:2" x14ac:dyDescent="0.25">
      <c r="A134" s="8"/>
      <c r="B134" s="44"/>
    </row>
    <row r="135" spans="1:2" x14ac:dyDescent="0.25">
      <c r="A135" s="8"/>
      <c r="B135" s="44"/>
    </row>
    <row r="136" spans="1:2" x14ac:dyDescent="0.25">
      <c r="A136" s="8"/>
      <c r="B136" s="44"/>
    </row>
    <row r="137" spans="1:2" x14ac:dyDescent="0.25">
      <c r="A137" s="8"/>
      <c r="B137" s="44"/>
    </row>
    <row r="138" spans="1:2" x14ac:dyDescent="0.25">
      <c r="A138" s="8"/>
      <c r="B138" s="44"/>
    </row>
    <row r="139" spans="1:2" x14ac:dyDescent="0.25">
      <c r="A139" s="8"/>
      <c r="B139" s="44"/>
    </row>
    <row r="140" spans="1:2" x14ac:dyDescent="0.25">
      <c r="A140" s="8"/>
      <c r="B140" s="44"/>
    </row>
    <row r="141" spans="1:2" x14ac:dyDescent="0.25">
      <c r="A141" s="8"/>
      <c r="B141" s="44"/>
    </row>
    <row r="142" spans="1:2" x14ac:dyDescent="0.25">
      <c r="A142" s="8"/>
      <c r="B142" s="44"/>
    </row>
    <row r="143" spans="1:2" x14ac:dyDescent="0.25">
      <c r="A143" s="8"/>
      <c r="B143" s="44"/>
    </row>
    <row r="144" spans="1:2" x14ac:dyDescent="0.25">
      <c r="A144" s="8"/>
      <c r="B144" s="44"/>
    </row>
    <row r="145" spans="1:2" x14ac:dyDescent="0.25">
      <c r="A145" s="8"/>
      <c r="B145" s="44"/>
    </row>
    <row r="146" spans="1:2" x14ac:dyDescent="0.25">
      <c r="A146" s="8"/>
      <c r="B146" s="44"/>
    </row>
    <row r="147" spans="1:2" x14ac:dyDescent="0.25">
      <c r="A147" s="8"/>
      <c r="B147" s="44"/>
    </row>
    <row r="148" spans="1:2" x14ac:dyDescent="0.25">
      <c r="A148" s="8"/>
      <c r="B148" s="44"/>
    </row>
    <row r="149" spans="1:2" x14ac:dyDescent="0.25">
      <c r="A149" s="8"/>
      <c r="B149" s="44"/>
    </row>
    <row r="150" spans="1:2" x14ac:dyDescent="0.25">
      <c r="A150" s="8"/>
      <c r="B150" s="44"/>
    </row>
    <row r="151" spans="1:2" x14ac:dyDescent="0.25">
      <c r="A151" s="8"/>
      <c r="B151" s="44"/>
    </row>
    <row r="152" spans="1:2" x14ac:dyDescent="0.25">
      <c r="A152" s="8"/>
      <c r="B152" s="44"/>
    </row>
    <row r="153" spans="1:2" x14ac:dyDescent="0.25">
      <c r="A153" s="8"/>
      <c r="B153" s="44"/>
    </row>
    <row r="154" spans="1:2" x14ac:dyDescent="0.25">
      <c r="A154" s="8"/>
      <c r="B154" s="44"/>
    </row>
    <row r="155" spans="1:2" x14ac:dyDescent="0.25">
      <c r="A155" s="8"/>
      <c r="B155" s="44"/>
    </row>
    <row r="156" spans="1:2" x14ac:dyDescent="0.25">
      <c r="A156" s="8"/>
      <c r="B156" s="44"/>
    </row>
    <row r="157" spans="1:2" x14ac:dyDescent="0.25">
      <c r="A157" s="8"/>
      <c r="B157" s="44"/>
    </row>
    <row r="158" spans="1:2" x14ac:dyDescent="0.25">
      <c r="A158" s="8"/>
      <c r="B158" s="44"/>
    </row>
    <row r="159" spans="1:2" x14ac:dyDescent="0.25">
      <c r="A159" s="8"/>
      <c r="B159" s="44"/>
    </row>
    <row r="160" spans="1:2" x14ac:dyDescent="0.25">
      <c r="A160" s="8"/>
      <c r="B160" s="44"/>
    </row>
    <row r="161" spans="1:2" x14ac:dyDescent="0.25">
      <c r="A161" s="8"/>
      <c r="B161" s="44"/>
    </row>
    <row r="162" spans="1:2" x14ac:dyDescent="0.25">
      <c r="A162" s="8"/>
      <c r="B162" s="44"/>
    </row>
    <row r="163" spans="1:2" x14ac:dyDescent="0.25">
      <c r="A163" s="8"/>
      <c r="B163" s="44"/>
    </row>
    <row r="164" spans="1:2" x14ac:dyDescent="0.25">
      <c r="A164" s="8"/>
      <c r="B164" s="44"/>
    </row>
    <row r="165" spans="1:2" x14ac:dyDescent="0.25">
      <c r="A165" s="8"/>
      <c r="B165" s="44"/>
    </row>
    <row r="166" spans="1:2" x14ac:dyDescent="0.25">
      <c r="A166" s="8"/>
      <c r="B166" s="44"/>
    </row>
    <row r="167" spans="1:2" x14ac:dyDescent="0.25">
      <c r="A167" s="8"/>
      <c r="B167" s="44"/>
    </row>
    <row r="168" spans="1:2" x14ac:dyDescent="0.25">
      <c r="A168" s="8"/>
      <c r="B168" s="44"/>
    </row>
    <row r="169" spans="1:2" x14ac:dyDescent="0.25">
      <c r="A169" s="8"/>
      <c r="B169" s="44"/>
    </row>
    <row r="170" spans="1:2" x14ac:dyDescent="0.25">
      <c r="A170" s="8"/>
      <c r="B170" s="44"/>
    </row>
    <row r="171" spans="1:2" x14ac:dyDescent="0.25">
      <c r="A171" s="8"/>
      <c r="B171" s="44"/>
    </row>
    <row r="172" spans="1:2" x14ac:dyDescent="0.25">
      <c r="A172" s="8"/>
      <c r="B172" s="44"/>
    </row>
    <row r="173" spans="1:2" x14ac:dyDescent="0.25">
      <c r="A173" s="8"/>
      <c r="B173" s="44"/>
    </row>
    <row r="174" spans="1:2" x14ac:dyDescent="0.25">
      <c r="A174" s="8"/>
      <c r="B174" s="44"/>
    </row>
    <row r="175" spans="1:2" x14ac:dyDescent="0.25">
      <c r="A175" s="8"/>
      <c r="B175" s="44"/>
    </row>
    <row r="176" spans="1:2" x14ac:dyDescent="0.25">
      <c r="A176" s="8"/>
      <c r="B176" s="44"/>
    </row>
    <row r="177" spans="1:2" x14ac:dyDescent="0.25">
      <c r="A177" s="8"/>
      <c r="B177" s="44"/>
    </row>
    <row r="178" spans="1:2" x14ac:dyDescent="0.25">
      <c r="A178" s="8"/>
      <c r="B178" s="44"/>
    </row>
    <row r="179" spans="1:2" x14ac:dyDescent="0.25">
      <c r="A179" s="8"/>
      <c r="B179" s="44"/>
    </row>
    <row r="180" spans="1:2" x14ac:dyDescent="0.25">
      <c r="A180" s="8"/>
      <c r="B180" s="44"/>
    </row>
    <row r="181" spans="1:2" x14ac:dyDescent="0.25">
      <c r="A181" s="8"/>
      <c r="B181" s="44"/>
    </row>
    <row r="182" spans="1:2" x14ac:dyDescent="0.25">
      <c r="A182" s="8"/>
      <c r="B182" s="44"/>
    </row>
    <row r="183" spans="1:2" x14ac:dyDescent="0.25">
      <c r="A183" s="8"/>
      <c r="B183" s="44"/>
    </row>
    <row r="184" spans="1:2" x14ac:dyDescent="0.25">
      <c r="A184" s="8"/>
      <c r="B184" s="44"/>
    </row>
    <row r="185" spans="1:2" x14ac:dyDescent="0.25">
      <c r="A185" s="8"/>
      <c r="B185" s="44"/>
    </row>
    <row r="186" spans="1:2" x14ac:dyDescent="0.25">
      <c r="A186" s="8"/>
      <c r="B186" s="44"/>
    </row>
    <row r="187" spans="1:2" x14ac:dyDescent="0.25">
      <c r="A187" s="8"/>
      <c r="B187" s="44"/>
    </row>
    <row r="188" spans="1:2" x14ac:dyDescent="0.25">
      <c r="A188" s="8"/>
      <c r="B188" s="44"/>
    </row>
    <row r="189" spans="1:2" x14ac:dyDescent="0.25">
      <c r="A189" s="8"/>
      <c r="B189" s="44"/>
    </row>
    <row r="190" spans="1:2" x14ac:dyDescent="0.25">
      <c r="A190" s="8"/>
      <c r="B190" s="44"/>
    </row>
    <row r="191" spans="1:2" x14ac:dyDescent="0.25">
      <c r="A191" s="8"/>
      <c r="B191" s="44"/>
    </row>
    <row r="192" spans="1:2" x14ac:dyDescent="0.25">
      <c r="A192" s="8"/>
      <c r="B192" s="44"/>
    </row>
    <row r="193" spans="1:2" x14ac:dyDescent="0.25">
      <c r="A193" s="8"/>
      <c r="B193" s="44"/>
    </row>
    <row r="194" spans="1:2" x14ac:dyDescent="0.25">
      <c r="A194" s="8"/>
      <c r="B194" s="44"/>
    </row>
    <row r="195" spans="1:2" x14ac:dyDescent="0.25">
      <c r="A195" s="8"/>
      <c r="B195" s="44"/>
    </row>
    <row r="196" spans="1:2" x14ac:dyDescent="0.25">
      <c r="A196" s="8"/>
      <c r="B196" s="44"/>
    </row>
    <row r="197" spans="1:2" x14ac:dyDescent="0.25">
      <c r="A197" s="8"/>
      <c r="B197" s="44"/>
    </row>
    <row r="198" spans="1:2" x14ac:dyDescent="0.25">
      <c r="A198" s="8"/>
      <c r="B198" s="44"/>
    </row>
    <row r="199" spans="1:2" x14ac:dyDescent="0.25">
      <c r="A199" s="8"/>
      <c r="B199" s="44"/>
    </row>
    <row r="200" spans="1:2" x14ac:dyDescent="0.25">
      <c r="A200" s="8"/>
      <c r="B200" s="44"/>
    </row>
    <row r="201" spans="1:2" x14ac:dyDescent="0.25">
      <c r="A201" s="8"/>
      <c r="B201" s="44"/>
    </row>
    <row r="202" spans="1:2" x14ac:dyDescent="0.25">
      <c r="A202" s="8"/>
      <c r="B202" s="44"/>
    </row>
    <row r="203" spans="1:2" x14ac:dyDescent="0.25">
      <c r="A203" s="8"/>
    </row>
    <row r="204" spans="1:2" x14ac:dyDescent="0.25">
      <c r="A204" s="8"/>
    </row>
    <row r="205" spans="1:2" x14ac:dyDescent="0.25">
      <c r="A205" s="8"/>
    </row>
    <row r="206" spans="1:2" x14ac:dyDescent="0.25">
      <c r="A206" s="8"/>
    </row>
    <row r="207" spans="1:2" x14ac:dyDescent="0.25">
      <c r="A207" s="8"/>
    </row>
    <row r="208" spans="1:2" x14ac:dyDescent="0.25">
      <c r="A208" s="8"/>
    </row>
    <row r="209" spans="1:1" x14ac:dyDescent="0.25">
      <c r="A209" s="8"/>
    </row>
    <row r="210" spans="1:1" x14ac:dyDescent="0.25">
      <c r="A210" s="8"/>
    </row>
    <row r="211" spans="1:1" x14ac:dyDescent="0.25">
      <c r="A211" s="8"/>
    </row>
    <row r="212" spans="1:1" x14ac:dyDescent="0.25">
      <c r="A212" s="8"/>
    </row>
    <row r="213" spans="1:1" x14ac:dyDescent="0.25">
      <c r="A213" s="8"/>
    </row>
    <row r="214" spans="1:1" x14ac:dyDescent="0.25">
      <c r="A214" s="8"/>
    </row>
    <row r="215" spans="1:1" x14ac:dyDescent="0.25">
      <c r="A215" s="8"/>
    </row>
    <row r="216" spans="1:1" x14ac:dyDescent="0.25">
      <c r="A216" s="8"/>
    </row>
    <row r="217" spans="1:1" x14ac:dyDescent="0.25">
      <c r="A217" s="8"/>
    </row>
    <row r="218" spans="1:1" x14ac:dyDescent="0.25">
      <c r="A218" s="8"/>
    </row>
    <row r="219" spans="1:1" x14ac:dyDescent="0.25">
      <c r="A219" s="8"/>
    </row>
    <row r="220" spans="1:1" x14ac:dyDescent="0.25">
      <c r="A220" s="8"/>
    </row>
    <row r="221" spans="1:1" x14ac:dyDescent="0.25">
      <c r="A221" s="8"/>
    </row>
    <row r="222" spans="1:1" x14ac:dyDescent="0.25">
      <c r="A222" s="8"/>
    </row>
    <row r="223" spans="1:1" x14ac:dyDescent="0.25">
      <c r="A223" s="8"/>
    </row>
    <row r="224" spans="1:1" x14ac:dyDescent="0.25">
      <c r="A224" s="8"/>
    </row>
    <row r="225" spans="1:1" x14ac:dyDescent="0.25">
      <c r="A225" s="8"/>
    </row>
    <row r="226" spans="1:1" x14ac:dyDescent="0.25">
      <c r="A226" s="8"/>
    </row>
    <row r="227" spans="1:1" x14ac:dyDescent="0.25">
      <c r="A227" s="8"/>
    </row>
    <row r="228" spans="1:1" x14ac:dyDescent="0.25">
      <c r="A228" s="8"/>
    </row>
    <row r="229" spans="1:1" x14ac:dyDescent="0.25">
      <c r="A229" s="8"/>
    </row>
    <row r="230" spans="1:1" x14ac:dyDescent="0.25">
      <c r="A230" s="8"/>
    </row>
    <row r="231" spans="1:1" x14ac:dyDescent="0.25">
      <c r="A231" s="8"/>
    </row>
    <row r="232" spans="1:1" x14ac:dyDescent="0.25">
      <c r="A232" s="8"/>
    </row>
    <row r="233" spans="1:1" x14ac:dyDescent="0.25">
      <c r="A233" s="8"/>
    </row>
    <row r="234" spans="1:1" x14ac:dyDescent="0.25">
      <c r="A234" s="8"/>
    </row>
    <row r="235" spans="1:1" x14ac:dyDescent="0.25">
      <c r="A235" s="8"/>
    </row>
    <row r="236" spans="1:1" x14ac:dyDescent="0.25">
      <c r="A236" s="8"/>
    </row>
    <row r="237" spans="1:1" x14ac:dyDescent="0.25">
      <c r="A237" s="8"/>
    </row>
    <row r="238" spans="1:1" x14ac:dyDescent="0.25">
      <c r="A238" s="8"/>
    </row>
    <row r="239" spans="1:1" x14ac:dyDescent="0.25">
      <c r="A239" s="8"/>
    </row>
    <row r="240" spans="1:1" x14ac:dyDescent="0.25">
      <c r="A240" s="8"/>
    </row>
    <row r="241" spans="1:1" x14ac:dyDescent="0.25">
      <c r="A241" s="8"/>
    </row>
    <row r="242" spans="1:1" x14ac:dyDescent="0.25">
      <c r="A242" s="8"/>
    </row>
    <row r="243" spans="1:1" x14ac:dyDescent="0.25">
      <c r="A243" s="8"/>
    </row>
    <row r="244" spans="1:1" x14ac:dyDescent="0.25">
      <c r="A244" s="8"/>
    </row>
    <row r="245" spans="1:1" x14ac:dyDescent="0.25">
      <c r="A245" s="8"/>
    </row>
  </sheetData>
  <autoFilter ref="A10:AC17" xr:uid="{BA8C19C8-50EA-428D-863E-02ED12C66776}">
    <sortState xmlns:xlrd2="http://schemas.microsoft.com/office/spreadsheetml/2017/richdata2" ref="A11:AC32">
      <sortCondition ref="A11:A32"/>
      <sortCondition ref="B11:B32"/>
      <sortCondition ref="D11:D32"/>
    </sortState>
  </autoFilter>
  <mergeCells count="9">
    <mergeCell ref="A9:C9"/>
    <mergeCell ref="B8:C8"/>
    <mergeCell ref="A1:C1"/>
    <mergeCell ref="B2:C2"/>
    <mergeCell ref="B3:C3"/>
    <mergeCell ref="B4:C4"/>
    <mergeCell ref="B5:C5"/>
    <mergeCell ref="B6:C6"/>
    <mergeCell ref="B7:C7"/>
  </mergeCells>
  <hyperlinks>
    <hyperlink ref="A9:C9" r:id="rId1" display="For more information see the Burned Area Rehabilitation SP Site. " xr:uid="{652F58B1-517B-429A-B13B-1ABD010BC90F}"/>
    <hyperlink ref="B7:C7" r:id="rId2" display="https://usfs.box.com/s/88zbstjmn0tqtsmyfse9f6z841b2s4os" xr:uid="{E1901648-7C6E-4F0A-831A-5BE1900501DF}"/>
  </hyperlinks>
  <pageMargins left="0.7" right="0.7" top="0.75" bottom="0.75" header="0.3" footer="0.3"/>
  <pageSetup orientation="portrait" r:id="rId3"/>
  <extLst>
    <ext xmlns:x14="http://schemas.microsoft.com/office/spreadsheetml/2009/9/main" uri="{CCE6A557-97BC-4b89-ADB6-D9C93CAAB3DF}">
      <x14:dataValidations xmlns:xm="http://schemas.microsoft.com/office/excel/2006/main" count="4">
        <x14:dataValidation type="list" allowBlank="1" showInputMessage="1" showErrorMessage="1" xr:uid="{688B88A2-06F0-46A6-B82D-A81D52DCE5C7}">
          <x14:formula1>
            <xm:f>Lists!$B$2:$B$11</xm:f>
          </x14:formula1>
          <xm:sqref>A193:A245</xm:sqref>
        </x14:dataValidation>
        <x14:dataValidation type="list" allowBlank="1" showInputMessage="1" showErrorMessage="1" xr:uid="{562F8809-0E09-4D87-827A-07E634D819D5}">
          <x14:formula1>
            <xm:f>Lists!$D$2:$D$4</xm:f>
          </x14:formula1>
          <xm:sqref>I12:I23 I33:I145</xm:sqref>
        </x14:dataValidation>
        <x14:dataValidation type="list" allowBlank="1" showInputMessage="1" showErrorMessage="1" xr:uid="{641B1F1A-4A52-4BC4-BA4F-6D5326CA45AA}">
          <x14:formula1>
            <xm:f>Lists!$A$2:$A$3</xm:f>
          </x14:formula1>
          <xm:sqref>A11:A23 A33:A192</xm:sqref>
        </x14:dataValidation>
        <x14:dataValidation type="list" allowBlank="1" showInputMessage="1" showErrorMessage="1" xr:uid="{24EDBCAD-EEDD-4D79-87DB-928AD2EEBD21}">
          <x14:formula1>
            <xm:f>Lists!$B$2:$B$14</xm:f>
          </x14:formula1>
          <xm:sqref>B12:B23 B33:B192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DF529-8779-486F-A1D0-21103E9CBB2D}">
  <dimension ref="A1:J21"/>
  <sheetViews>
    <sheetView topLeftCell="A7" workbookViewId="0">
      <selection activeCell="B3" sqref="B3:D3"/>
    </sheetView>
  </sheetViews>
  <sheetFormatPr defaultRowHeight="15" x14ac:dyDescent="0.25"/>
  <cols>
    <col min="1" max="1" width="23" customWidth="1"/>
    <col min="2" max="2" width="13" customWidth="1"/>
    <col min="3" max="3" width="16.5703125" customWidth="1"/>
    <col min="4" max="4" width="149" customWidth="1"/>
    <col min="7" max="7" width="9.140625" customWidth="1"/>
    <col min="8" max="8" width="17.42578125" customWidth="1"/>
    <col min="9" max="9" width="16.85546875" customWidth="1"/>
    <col min="10" max="10" width="9.140625" customWidth="1"/>
  </cols>
  <sheetData>
    <row r="1" spans="1:10" ht="15.75" x14ac:dyDescent="0.25">
      <c r="A1" s="150" t="s">
        <v>73</v>
      </c>
      <c r="B1" s="151"/>
      <c r="C1" s="151"/>
      <c r="D1" s="151"/>
    </row>
    <row r="2" spans="1:10" ht="15.75" x14ac:dyDescent="0.25">
      <c r="A2" s="37" t="s">
        <v>74</v>
      </c>
      <c r="B2" s="152" t="s">
        <v>23</v>
      </c>
      <c r="C2" s="153"/>
      <c r="D2" s="154"/>
    </row>
    <row r="3" spans="1:10" ht="15.75" x14ac:dyDescent="0.25">
      <c r="A3" s="37" t="s">
        <v>75</v>
      </c>
      <c r="B3" s="152" t="s">
        <v>24</v>
      </c>
      <c r="C3" s="153"/>
      <c r="D3" s="154"/>
    </row>
    <row r="4" spans="1:10" ht="21.75" customHeight="1" x14ac:dyDescent="0.25">
      <c r="A4" s="33" t="s">
        <v>76</v>
      </c>
      <c r="B4" s="155" t="s">
        <v>77</v>
      </c>
      <c r="C4" s="155"/>
      <c r="D4" s="155"/>
    </row>
    <row r="5" spans="1:10" s="32" customFormat="1" ht="81" customHeight="1" x14ac:dyDescent="0.25">
      <c r="A5" s="34" t="s">
        <v>78</v>
      </c>
      <c r="B5" s="145" t="s">
        <v>79</v>
      </c>
      <c r="C5" s="145"/>
      <c r="D5" s="145"/>
    </row>
    <row r="6" spans="1:10" s="32" customFormat="1" ht="120" x14ac:dyDescent="0.25">
      <c r="A6" s="34" t="s">
        <v>80</v>
      </c>
      <c r="B6" s="145" t="s">
        <v>81</v>
      </c>
      <c r="C6" s="145"/>
      <c r="D6" s="145"/>
    </row>
    <row r="7" spans="1:10" s="32" customFormat="1" ht="130.5" customHeight="1" x14ac:dyDescent="0.25">
      <c r="A7" s="34" t="s">
        <v>82</v>
      </c>
      <c r="B7" s="145" t="s">
        <v>83</v>
      </c>
      <c r="C7" s="146"/>
      <c r="D7" s="146"/>
    </row>
    <row r="8" spans="1:10" s="32" customFormat="1" ht="105" x14ac:dyDescent="0.25">
      <c r="A8" s="34" t="s">
        <v>84</v>
      </c>
      <c r="B8" s="147"/>
      <c r="C8" s="147"/>
      <c r="D8" s="147"/>
    </row>
    <row r="9" spans="1:10" x14ac:dyDescent="0.25">
      <c r="A9" s="3"/>
      <c r="B9" s="2"/>
      <c r="C9" s="2"/>
      <c r="D9" s="2"/>
    </row>
    <row r="10" spans="1:10" x14ac:dyDescent="0.25">
      <c r="A10" s="148" t="s">
        <v>85</v>
      </c>
      <c r="B10" s="149"/>
      <c r="C10" s="149"/>
      <c r="D10" s="149"/>
    </row>
    <row r="11" spans="1:10" x14ac:dyDescent="0.25">
      <c r="A11" s="27" t="s">
        <v>86</v>
      </c>
      <c r="B11" s="28" t="s">
        <v>87</v>
      </c>
      <c r="C11" s="28" t="s">
        <v>88</v>
      </c>
      <c r="D11" s="30" t="s">
        <v>89</v>
      </c>
    </row>
    <row r="12" spans="1:10" x14ac:dyDescent="0.25">
      <c r="A12" s="31" t="s">
        <v>90</v>
      </c>
      <c r="B12" s="45">
        <v>31680</v>
      </c>
      <c r="C12" s="45">
        <v>2.65</v>
      </c>
      <c r="D12" s="6">
        <f t="shared" ref="D12:D17" si="0">B12*C12</f>
        <v>83952</v>
      </c>
    </row>
    <row r="13" spans="1:10" x14ac:dyDescent="0.25">
      <c r="A13" s="31"/>
      <c r="B13" s="45"/>
      <c r="C13" s="45"/>
      <c r="D13" s="6">
        <f t="shared" si="0"/>
        <v>0</v>
      </c>
    </row>
    <row r="14" spans="1:10" x14ac:dyDescent="0.25">
      <c r="A14" s="31" t="s">
        <v>91</v>
      </c>
      <c r="B14" s="45">
        <v>7</v>
      </c>
      <c r="C14" s="46">
        <v>1078</v>
      </c>
      <c r="D14" s="6">
        <f t="shared" si="0"/>
        <v>7546</v>
      </c>
    </row>
    <row r="15" spans="1:10" x14ac:dyDescent="0.25">
      <c r="A15" s="31" t="s">
        <v>92</v>
      </c>
      <c r="B15" s="45">
        <v>124</v>
      </c>
      <c r="C15" s="45">
        <v>34</v>
      </c>
      <c r="D15" s="6">
        <f t="shared" si="0"/>
        <v>4216</v>
      </c>
      <c r="H15" s="9"/>
      <c r="I15" s="10"/>
      <c r="J15" s="10"/>
    </row>
    <row r="16" spans="1:10" x14ac:dyDescent="0.25">
      <c r="A16" s="31" t="s">
        <v>93</v>
      </c>
      <c r="B16" s="45">
        <v>105</v>
      </c>
      <c r="C16" s="45">
        <v>11</v>
      </c>
      <c r="D16" s="6">
        <f t="shared" si="0"/>
        <v>1155</v>
      </c>
      <c r="H16" s="9"/>
      <c r="I16" s="10"/>
      <c r="J16" s="10"/>
    </row>
    <row r="17" spans="1:10" x14ac:dyDescent="0.25">
      <c r="A17" s="12" t="s">
        <v>94</v>
      </c>
      <c r="B17" s="13">
        <v>110</v>
      </c>
      <c r="C17" s="14">
        <v>4</v>
      </c>
      <c r="D17" s="6">
        <f t="shared" si="0"/>
        <v>440</v>
      </c>
      <c r="H17" s="9"/>
      <c r="I17" s="10"/>
      <c r="J17" s="10"/>
    </row>
    <row r="18" spans="1:10" x14ac:dyDescent="0.25">
      <c r="A18" s="12" t="s">
        <v>95</v>
      </c>
      <c r="B18" s="13">
        <v>150</v>
      </c>
      <c r="C18" s="15">
        <v>12</v>
      </c>
      <c r="D18" s="6">
        <f>B18*C18</f>
        <v>1800</v>
      </c>
      <c r="H18" s="11"/>
      <c r="I18" s="10"/>
    </row>
    <row r="19" spans="1:10" ht="15.75" thickBot="1" x14ac:dyDescent="0.3">
      <c r="A19" s="142" t="s">
        <v>96</v>
      </c>
      <c r="B19" s="143"/>
      <c r="C19" s="144"/>
      <c r="D19" s="5">
        <f>SUM(D12:D18)</f>
        <v>99109</v>
      </c>
      <c r="H19" s="11"/>
      <c r="I19" s="10"/>
    </row>
    <row r="20" spans="1:10" x14ac:dyDescent="0.25">
      <c r="A20" s="24"/>
      <c r="B20" s="10"/>
      <c r="H20" s="11"/>
      <c r="I20" s="10"/>
    </row>
    <row r="21" spans="1:10" x14ac:dyDescent="0.25">
      <c r="H21" s="11"/>
      <c r="I21" s="10"/>
    </row>
  </sheetData>
  <mergeCells count="10">
    <mergeCell ref="A19:C19"/>
    <mergeCell ref="B7:D7"/>
    <mergeCell ref="B8:D8"/>
    <mergeCell ref="A10:D10"/>
    <mergeCell ref="A1:D1"/>
    <mergeCell ref="B2:D2"/>
    <mergeCell ref="B3:D3"/>
    <mergeCell ref="B4:D4"/>
    <mergeCell ref="B5:D5"/>
    <mergeCell ref="B6:D6"/>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ECF94872-2F7B-4D4A-BF6C-1C328F915D8C}">
          <x14:formula1>
            <xm:f>Lists!$A$2:$A$3</xm:f>
          </x14:formula1>
          <xm:sqref>B2:D2</xm:sqref>
        </x14:dataValidation>
        <x14:dataValidation type="list" allowBlank="1" showInputMessage="1" showErrorMessage="1" xr:uid="{54257A6E-3950-40DF-8DE4-E1A83F664E4B}">
          <x14:formula1>
            <xm:f>Lists!$B$2:$B$14</xm:f>
          </x14:formula1>
          <xm:sqref>B3:D3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00AF9-ABA4-44FD-807D-EEEF3E61E72F}">
  <dimension ref="A1:J21"/>
  <sheetViews>
    <sheetView topLeftCell="A6" workbookViewId="0">
      <selection activeCell="B3" sqref="B3:D3"/>
    </sheetView>
  </sheetViews>
  <sheetFormatPr defaultRowHeight="15" x14ac:dyDescent="0.25"/>
  <cols>
    <col min="1" max="1" width="23" customWidth="1"/>
    <col min="2" max="2" width="13" customWidth="1"/>
    <col min="3" max="3" width="16.5703125" customWidth="1"/>
    <col min="4" max="4" width="149" customWidth="1"/>
    <col min="7" max="7" width="9.140625" customWidth="1"/>
    <col min="8" max="8" width="17.42578125" customWidth="1"/>
    <col min="9" max="9" width="16.85546875" customWidth="1"/>
    <col min="10" max="10" width="9.140625" customWidth="1"/>
  </cols>
  <sheetData>
    <row r="1" spans="1:10" ht="15.75" x14ac:dyDescent="0.25">
      <c r="A1" s="150" t="s">
        <v>73</v>
      </c>
      <c r="B1" s="151"/>
      <c r="C1" s="151"/>
      <c r="D1" s="151"/>
    </row>
    <row r="2" spans="1:10" ht="15.75" x14ac:dyDescent="0.25">
      <c r="A2" s="37" t="s">
        <v>74</v>
      </c>
      <c r="B2" s="152" t="s">
        <v>23</v>
      </c>
      <c r="C2" s="153"/>
      <c r="D2" s="154"/>
    </row>
    <row r="3" spans="1:10" ht="15.75" x14ac:dyDescent="0.25">
      <c r="A3" s="37" t="s">
        <v>75</v>
      </c>
      <c r="B3" s="152" t="s">
        <v>24</v>
      </c>
      <c r="C3" s="153"/>
      <c r="D3" s="154"/>
    </row>
    <row r="4" spans="1:10" ht="21.75" customHeight="1" x14ac:dyDescent="0.25">
      <c r="A4" s="33" t="s">
        <v>76</v>
      </c>
      <c r="B4" s="155" t="s">
        <v>97</v>
      </c>
      <c r="C4" s="155"/>
      <c r="D4" s="155"/>
    </row>
    <row r="5" spans="1:10" s="32" customFormat="1" ht="81" customHeight="1" x14ac:dyDescent="0.25">
      <c r="A5" s="34" t="s">
        <v>78</v>
      </c>
      <c r="B5" s="145" t="s">
        <v>79</v>
      </c>
      <c r="C5" s="145"/>
      <c r="D5" s="145"/>
    </row>
    <row r="6" spans="1:10" s="32" customFormat="1" ht="120" x14ac:dyDescent="0.25">
      <c r="A6" s="34" t="s">
        <v>80</v>
      </c>
      <c r="B6" s="145" t="s">
        <v>81</v>
      </c>
      <c r="C6" s="145"/>
      <c r="D6" s="145"/>
    </row>
    <row r="7" spans="1:10" s="32" customFormat="1" ht="130.5" customHeight="1" x14ac:dyDescent="0.25">
      <c r="A7" s="34" t="s">
        <v>82</v>
      </c>
      <c r="B7" s="145" t="s">
        <v>83</v>
      </c>
      <c r="C7" s="146"/>
      <c r="D7" s="146"/>
    </row>
    <row r="8" spans="1:10" s="32" customFormat="1" ht="105" x14ac:dyDescent="0.25">
      <c r="A8" s="34" t="s">
        <v>84</v>
      </c>
      <c r="B8" s="147"/>
      <c r="C8" s="147"/>
      <c r="D8" s="147"/>
    </row>
    <row r="9" spans="1:10" x14ac:dyDescent="0.25">
      <c r="A9" s="3"/>
      <c r="B9" s="2"/>
      <c r="C9" s="2"/>
      <c r="D9" s="2"/>
    </row>
    <row r="10" spans="1:10" x14ac:dyDescent="0.25">
      <c r="A10" s="148" t="s">
        <v>85</v>
      </c>
      <c r="B10" s="149"/>
      <c r="C10" s="149"/>
      <c r="D10" s="149"/>
    </row>
    <row r="11" spans="1:10" x14ac:dyDescent="0.25">
      <c r="A11" s="27" t="s">
        <v>86</v>
      </c>
      <c r="B11" s="28" t="s">
        <v>87</v>
      </c>
      <c r="C11" s="28" t="s">
        <v>88</v>
      </c>
      <c r="D11" s="30" t="s">
        <v>89</v>
      </c>
    </row>
    <row r="12" spans="1:10" x14ac:dyDescent="0.25">
      <c r="A12" s="31" t="s">
        <v>90</v>
      </c>
      <c r="B12" s="45">
        <v>31680</v>
      </c>
      <c r="C12" s="45">
        <v>0.2</v>
      </c>
      <c r="D12" s="6">
        <f t="shared" ref="D12:D17" si="0">B12*C12</f>
        <v>6336</v>
      </c>
    </row>
    <row r="13" spans="1:10" x14ac:dyDescent="0.25">
      <c r="A13" s="31"/>
      <c r="B13" s="45"/>
      <c r="C13" s="45"/>
      <c r="D13" s="6">
        <f t="shared" si="0"/>
        <v>0</v>
      </c>
    </row>
    <row r="14" spans="1:10" x14ac:dyDescent="0.25">
      <c r="A14" s="31" t="s">
        <v>91</v>
      </c>
      <c r="B14" s="45">
        <v>7</v>
      </c>
      <c r="C14" s="46">
        <v>81</v>
      </c>
      <c r="D14" s="6">
        <f t="shared" si="0"/>
        <v>567</v>
      </c>
    </row>
    <row r="15" spans="1:10" x14ac:dyDescent="0.25">
      <c r="A15" s="31" t="s">
        <v>92</v>
      </c>
      <c r="B15" s="45">
        <v>124</v>
      </c>
      <c r="C15" s="45">
        <v>4</v>
      </c>
      <c r="D15" s="6">
        <f t="shared" si="0"/>
        <v>496</v>
      </c>
      <c r="H15" s="9"/>
      <c r="I15" s="10"/>
      <c r="J15" s="10"/>
    </row>
    <row r="16" spans="1:10" x14ac:dyDescent="0.25">
      <c r="A16" s="31" t="s">
        <v>93</v>
      </c>
      <c r="B16" s="45">
        <v>105</v>
      </c>
      <c r="C16" s="45">
        <v>0</v>
      </c>
      <c r="D16" s="6">
        <f t="shared" si="0"/>
        <v>0</v>
      </c>
      <c r="H16" s="9"/>
      <c r="I16" s="10"/>
      <c r="J16" s="10"/>
    </row>
    <row r="17" spans="1:10" x14ac:dyDescent="0.25">
      <c r="A17" s="12" t="s">
        <v>94</v>
      </c>
      <c r="B17" s="13">
        <v>110</v>
      </c>
      <c r="C17" s="14">
        <v>2</v>
      </c>
      <c r="D17" s="6">
        <f t="shared" si="0"/>
        <v>220</v>
      </c>
      <c r="H17" s="9"/>
      <c r="I17" s="10"/>
      <c r="J17" s="10"/>
    </row>
    <row r="18" spans="1:10" x14ac:dyDescent="0.25">
      <c r="A18" s="12" t="s">
        <v>95</v>
      </c>
      <c r="B18" s="13">
        <v>150</v>
      </c>
      <c r="C18" s="15">
        <v>3</v>
      </c>
      <c r="D18" s="6">
        <f>B18*C18</f>
        <v>450</v>
      </c>
      <c r="H18" s="11"/>
      <c r="I18" s="10"/>
    </row>
    <row r="19" spans="1:10" ht="15.75" thickBot="1" x14ac:dyDescent="0.3">
      <c r="A19" s="142" t="s">
        <v>96</v>
      </c>
      <c r="B19" s="143"/>
      <c r="C19" s="144"/>
      <c r="D19" s="5">
        <f>SUM(D12:D18)</f>
        <v>8069</v>
      </c>
      <c r="H19" s="11"/>
      <c r="I19" s="10"/>
    </row>
    <row r="20" spans="1:10" x14ac:dyDescent="0.25">
      <c r="A20" s="24"/>
      <c r="B20" s="10"/>
      <c r="H20" s="11"/>
      <c r="I20" s="10"/>
    </row>
    <row r="21" spans="1:10" x14ac:dyDescent="0.25">
      <c r="H21" s="11"/>
      <c r="I21" s="10"/>
    </row>
  </sheetData>
  <mergeCells count="10">
    <mergeCell ref="B7:D7"/>
    <mergeCell ref="B8:D8"/>
    <mergeCell ref="A10:D10"/>
    <mergeCell ref="A19:C19"/>
    <mergeCell ref="A1:D1"/>
    <mergeCell ref="B2:D2"/>
    <mergeCell ref="B3:D3"/>
    <mergeCell ref="B4:D4"/>
    <mergeCell ref="B5:D5"/>
    <mergeCell ref="B6:D6"/>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867EE919-E04E-4A9F-AF65-4FC6CC516734}">
          <x14:formula1>
            <xm:f>Lists!$B$2:$B$14</xm:f>
          </x14:formula1>
          <xm:sqref>B3:D3</xm:sqref>
        </x14:dataValidation>
        <x14:dataValidation type="list" allowBlank="1" showInputMessage="1" showErrorMessage="1" xr:uid="{3D6B322E-D502-4DDB-82C4-F96CD6CE199B}">
          <x14:formula1>
            <xm:f>Lists!$A$2:$A$3</xm:f>
          </x14:formula1>
          <xm:sqref>B2:D2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D3442-EEB0-47AD-A0F0-38F3B617CBF4}">
  <dimension ref="A1:J21"/>
  <sheetViews>
    <sheetView topLeftCell="A6" workbookViewId="0">
      <selection activeCell="D18" sqref="D18"/>
    </sheetView>
  </sheetViews>
  <sheetFormatPr defaultRowHeight="15" x14ac:dyDescent="0.25"/>
  <cols>
    <col min="1" max="1" width="23" customWidth="1"/>
    <col min="2" max="2" width="13" customWidth="1"/>
    <col min="3" max="3" width="16.5703125" customWidth="1"/>
    <col min="4" max="4" width="51.5703125" customWidth="1"/>
    <col min="7" max="7" width="9.140625" customWidth="1"/>
    <col min="8" max="8" width="17.42578125" customWidth="1"/>
    <col min="9" max="9" width="16.85546875" customWidth="1"/>
    <col min="10" max="10" width="9.140625" customWidth="1"/>
  </cols>
  <sheetData>
    <row r="1" spans="1:10" ht="15.75" x14ac:dyDescent="0.25">
      <c r="A1" s="150" t="s">
        <v>73</v>
      </c>
      <c r="B1" s="151"/>
      <c r="C1" s="151"/>
      <c r="D1" s="151"/>
    </row>
    <row r="2" spans="1:10" ht="15.75" x14ac:dyDescent="0.25">
      <c r="A2" s="37" t="s">
        <v>74</v>
      </c>
      <c r="B2" s="152" t="s">
        <v>23</v>
      </c>
      <c r="C2" s="153"/>
      <c r="D2" s="154"/>
    </row>
    <row r="3" spans="1:10" ht="15.75" x14ac:dyDescent="0.25">
      <c r="A3" s="37" t="s">
        <v>75</v>
      </c>
      <c r="B3" s="152" t="s">
        <v>24</v>
      </c>
      <c r="C3" s="153"/>
      <c r="D3" s="154"/>
    </row>
    <row r="4" spans="1:10" ht="21.75" customHeight="1" x14ac:dyDescent="0.25">
      <c r="A4" s="33" t="s">
        <v>76</v>
      </c>
      <c r="B4" s="155" t="s">
        <v>98</v>
      </c>
      <c r="C4" s="155"/>
      <c r="D4" s="155"/>
    </row>
    <row r="5" spans="1:10" s="32" customFormat="1" ht="60" x14ac:dyDescent="0.25">
      <c r="A5" s="34" t="s">
        <v>78</v>
      </c>
      <c r="B5" s="156" t="s">
        <v>99</v>
      </c>
      <c r="C5" s="156"/>
      <c r="D5" s="156"/>
    </row>
    <row r="6" spans="1:10" s="32" customFormat="1" ht="120" x14ac:dyDescent="0.25">
      <c r="A6" s="34" t="s">
        <v>80</v>
      </c>
      <c r="B6" s="156" t="s">
        <v>100</v>
      </c>
      <c r="C6" s="156"/>
      <c r="D6" s="156"/>
    </row>
    <row r="7" spans="1:10" s="32" customFormat="1" ht="30" x14ac:dyDescent="0.25">
      <c r="A7" s="34" t="s">
        <v>82</v>
      </c>
      <c r="B7" s="156" t="s">
        <v>101</v>
      </c>
      <c r="C7" s="156"/>
      <c r="D7" s="156"/>
    </row>
    <row r="8" spans="1:10" s="32" customFormat="1" ht="105" x14ac:dyDescent="0.25">
      <c r="A8" s="34" t="s">
        <v>84</v>
      </c>
      <c r="B8" s="147"/>
      <c r="C8" s="147"/>
      <c r="D8" s="147"/>
    </row>
    <row r="9" spans="1:10" x14ac:dyDescent="0.25">
      <c r="A9" s="3"/>
      <c r="B9" s="2"/>
      <c r="C9" s="2"/>
      <c r="D9" s="2"/>
    </row>
    <row r="10" spans="1:10" x14ac:dyDescent="0.25">
      <c r="A10" s="148" t="s">
        <v>85</v>
      </c>
      <c r="B10" s="149"/>
      <c r="C10" s="149"/>
      <c r="D10" s="149"/>
    </row>
    <row r="11" spans="1:10" x14ac:dyDescent="0.25">
      <c r="A11" s="27" t="s">
        <v>86</v>
      </c>
      <c r="B11" s="28" t="s">
        <v>87</v>
      </c>
      <c r="C11" s="28" t="s">
        <v>88</v>
      </c>
      <c r="D11" s="30" t="s">
        <v>89</v>
      </c>
    </row>
    <row r="12" spans="1:10" x14ac:dyDescent="0.25">
      <c r="A12" s="31" t="s">
        <v>102</v>
      </c>
      <c r="B12" s="77">
        <v>27931</v>
      </c>
      <c r="C12" s="29">
        <v>2.1800000000000002</v>
      </c>
      <c r="D12" s="6">
        <f t="shared" ref="D12:D14" si="0">B12*C12</f>
        <v>60889.58</v>
      </c>
    </row>
    <row r="13" spans="1:10" x14ac:dyDescent="0.25">
      <c r="A13" s="31" t="s">
        <v>103</v>
      </c>
      <c r="B13" s="77">
        <v>39908</v>
      </c>
      <c r="C13" s="29">
        <v>2.1800000000000002</v>
      </c>
      <c r="D13" s="6">
        <f t="shared" si="0"/>
        <v>86999.44</v>
      </c>
    </row>
    <row r="14" spans="1:10" x14ac:dyDescent="0.25">
      <c r="A14" s="31" t="s">
        <v>104</v>
      </c>
      <c r="B14" s="77">
        <v>39908</v>
      </c>
      <c r="C14" s="29">
        <v>2.1800000000000002</v>
      </c>
      <c r="D14" s="6">
        <f t="shared" si="0"/>
        <v>86999.44</v>
      </c>
    </row>
    <row r="15" spans="1:10" x14ac:dyDescent="0.25">
      <c r="A15" s="12"/>
      <c r="B15" s="13"/>
      <c r="C15" s="14"/>
      <c r="D15" s="6">
        <f>B15*C15</f>
        <v>0</v>
      </c>
      <c r="H15" s="9"/>
      <c r="I15" s="10"/>
      <c r="J15" s="10"/>
    </row>
    <row r="16" spans="1:10" x14ac:dyDescent="0.25">
      <c r="A16" s="12"/>
      <c r="B16" s="13"/>
      <c r="C16" s="15"/>
      <c r="D16" s="6">
        <f>B16*C16</f>
        <v>0</v>
      </c>
      <c r="H16" s="9"/>
      <c r="I16" s="10"/>
      <c r="J16" s="10"/>
    </row>
    <row r="17" spans="1:10" x14ac:dyDescent="0.25">
      <c r="A17" s="12"/>
      <c r="B17" s="13"/>
      <c r="C17" s="16"/>
      <c r="D17" s="6">
        <f>B17*C17</f>
        <v>0</v>
      </c>
      <c r="H17" s="9"/>
      <c r="I17" s="10"/>
      <c r="J17" s="10"/>
    </row>
    <row r="18" spans="1:10" x14ac:dyDescent="0.25">
      <c r="A18" s="142" t="s">
        <v>96</v>
      </c>
      <c r="B18" s="143"/>
      <c r="C18" s="144"/>
      <c r="D18" s="5">
        <f>SUM(D12:D17)</f>
        <v>234888.46000000002</v>
      </c>
      <c r="H18" s="11"/>
      <c r="I18" s="10"/>
    </row>
    <row r="19" spans="1:10" x14ac:dyDescent="0.25">
      <c r="H19" s="11"/>
      <c r="I19" s="10"/>
    </row>
    <row r="20" spans="1:10" x14ac:dyDescent="0.25">
      <c r="A20" s="24"/>
      <c r="B20" s="10"/>
      <c r="H20" s="11"/>
      <c r="I20" s="10"/>
    </row>
    <row r="21" spans="1:10" x14ac:dyDescent="0.25">
      <c r="H21" s="11"/>
      <c r="I21" s="10"/>
    </row>
  </sheetData>
  <mergeCells count="10">
    <mergeCell ref="B7:D7"/>
    <mergeCell ref="B8:D8"/>
    <mergeCell ref="A10:D10"/>
    <mergeCell ref="A18:C18"/>
    <mergeCell ref="A1:D1"/>
    <mergeCell ref="B2:D2"/>
    <mergeCell ref="B3:D3"/>
    <mergeCell ref="B4:D4"/>
    <mergeCell ref="B5:D5"/>
    <mergeCell ref="B6:D6"/>
  </mergeCells>
  <pageMargins left="0.7" right="0.7" top="0.75" bottom="0.75" header="0.3" footer="0.3"/>
  <pageSetup orientation="portrait"/>
  <extLst>
    <ext xmlns:x14="http://schemas.microsoft.com/office/spreadsheetml/2009/9/main" uri="{CCE6A557-97BC-4b89-ADB6-D9C93CAAB3DF}">
      <x14:dataValidations xmlns:xm="http://schemas.microsoft.com/office/excel/2006/main" count="2">
        <x14:dataValidation type="list" allowBlank="1" showInputMessage="1" showErrorMessage="1" xr:uid="{F6FF383E-09DD-442A-BB55-C54D478E980F}">
          <x14:formula1>
            <xm:f>Lists!$B$2:$B$14</xm:f>
          </x14:formula1>
          <xm:sqref>B3:D3</xm:sqref>
        </x14:dataValidation>
        <x14:dataValidation type="list" allowBlank="1" showInputMessage="1" showErrorMessage="1" xr:uid="{B4118859-5834-4A8C-AC46-43F466ACD215}">
          <x14:formula1>
            <xm:f>Lists!$A$2:$A$3</xm:f>
          </x14:formula1>
          <xm:sqref>B2:D2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9F7F3-0C6F-4C12-9F83-CE2258A79E02}">
  <dimension ref="A1:J21"/>
  <sheetViews>
    <sheetView topLeftCell="A6" workbookViewId="0">
      <selection activeCell="B3" sqref="B3:D3"/>
    </sheetView>
  </sheetViews>
  <sheetFormatPr defaultRowHeight="15" x14ac:dyDescent="0.25"/>
  <cols>
    <col min="1" max="1" width="22.5703125" bestFit="1" customWidth="1"/>
    <col min="2" max="2" width="11.5703125" bestFit="1" customWidth="1"/>
    <col min="3" max="3" width="13.140625" bestFit="1" customWidth="1"/>
    <col min="4" max="4" width="141.140625" customWidth="1"/>
    <col min="7" max="7" width="9.140625" customWidth="1"/>
    <col min="8" max="8" width="17.42578125" customWidth="1"/>
    <col min="9" max="9" width="16.85546875" customWidth="1"/>
    <col min="10" max="10" width="9.140625" customWidth="1"/>
  </cols>
  <sheetData>
    <row r="1" spans="1:10" ht="15.75" x14ac:dyDescent="0.25">
      <c r="A1" s="150" t="s">
        <v>73</v>
      </c>
      <c r="B1" s="151"/>
      <c r="C1" s="151"/>
      <c r="D1" s="151"/>
    </row>
    <row r="2" spans="1:10" ht="15.75" x14ac:dyDescent="0.25">
      <c r="A2" s="37" t="s">
        <v>74</v>
      </c>
      <c r="B2" s="152" t="s">
        <v>23</v>
      </c>
      <c r="C2" s="153"/>
      <c r="D2" s="154"/>
    </row>
    <row r="3" spans="1:10" ht="15.75" x14ac:dyDescent="0.25">
      <c r="A3" s="37" t="s">
        <v>75</v>
      </c>
      <c r="B3" s="152" t="s">
        <v>34</v>
      </c>
      <c r="C3" s="153"/>
      <c r="D3" s="154"/>
    </row>
    <row r="4" spans="1:10" ht="21.75" customHeight="1" x14ac:dyDescent="0.25">
      <c r="A4" s="33" t="s">
        <v>76</v>
      </c>
      <c r="B4" s="155" t="s">
        <v>105</v>
      </c>
      <c r="C4" s="155"/>
      <c r="D4" s="155"/>
    </row>
    <row r="5" spans="1:10" s="32" customFormat="1" ht="60" x14ac:dyDescent="0.25">
      <c r="A5" s="34" t="s">
        <v>78</v>
      </c>
      <c r="B5" s="145" t="s">
        <v>79</v>
      </c>
      <c r="C5" s="145"/>
      <c r="D5" s="145"/>
    </row>
    <row r="6" spans="1:10" s="32" customFormat="1" ht="120" x14ac:dyDescent="0.25">
      <c r="A6" s="34" t="s">
        <v>80</v>
      </c>
      <c r="B6" s="145" t="s">
        <v>106</v>
      </c>
      <c r="C6" s="145"/>
      <c r="D6" s="145"/>
    </row>
    <row r="7" spans="1:10" s="32" customFormat="1" ht="136.5" customHeight="1" x14ac:dyDescent="0.25">
      <c r="A7" s="34" t="s">
        <v>82</v>
      </c>
      <c r="B7" s="145" t="s">
        <v>83</v>
      </c>
      <c r="C7" s="146"/>
      <c r="D7" s="146"/>
    </row>
    <row r="8" spans="1:10" s="32" customFormat="1" ht="105" x14ac:dyDescent="0.25">
      <c r="A8" s="34" t="s">
        <v>84</v>
      </c>
      <c r="B8" s="147"/>
      <c r="C8" s="147"/>
      <c r="D8" s="147"/>
    </row>
    <row r="9" spans="1:10" x14ac:dyDescent="0.25">
      <c r="A9" s="3"/>
      <c r="B9" s="2"/>
      <c r="C9" s="2"/>
      <c r="D9" s="2"/>
    </row>
    <row r="10" spans="1:10" x14ac:dyDescent="0.25">
      <c r="A10" s="148" t="s">
        <v>85</v>
      </c>
      <c r="B10" s="149"/>
      <c r="C10" s="149"/>
      <c r="D10" s="149"/>
    </row>
    <row r="11" spans="1:10" x14ac:dyDescent="0.25">
      <c r="A11" s="27" t="s">
        <v>86</v>
      </c>
      <c r="B11" s="28" t="s">
        <v>87</v>
      </c>
      <c r="C11" s="28" t="s">
        <v>88</v>
      </c>
      <c r="D11" s="30" t="s">
        <v>89</v>
      </c>
    </row>
    <row r="12" spans="1:10" x14ac:dyDescent="0.25">
      <c r="A12" s="12" t="s">
        <v>107</v>
      </c>
      <c r="B12" s="13">
        <v>38280</v>
      </c>
      <c r="C12" s="16">
        <v>5.5</v>
      </c>
      <c r="D12" s="6">
        <v>229680</v>
      </c>
    </row>
    <row r="13" spans="1:10" x14ac:dyDescent="0.25">
      <c r="A13" s="31"/>
      <c r="B13" s="29"/>
      <c r="C13" s="29"/>
      <c r="D13" s="6">
        <f t="shared" ref="D13:D14" si="0">B13*C13</f>
        <v>0</v>
      </c>
    </row>
    <row r="14" spans="1:10" x14ac:dyDescent="0.25">
      <c r="A14" s="31"/>
      <c r="B14" s="29"/>
      <c r="C14" s="29"/>
      <c r="D14" s="6">
        <f t="shared" si="0"/>
        <v>0</v>
      </c>
    </row>
    <row r="15" spans="1:10" x14ac:dyDescent="0.25">
      <c r="A15" s="12"/>
      <c r="B15" s="13"/>
      <c r="C15" s="14"/>
      <c r="D15" s="6">
        <f>B15*C15</f>
        <v>0</v>
      </c>
      <c r="H15" s="9"/>
      <c r="I15" s="10"/>
      <c r="J15" s="10"/>
    </row>
    <row r="16" spans="1:10" x14ac:dyDescent="0.25">
      <c r="A16" s="12"/>
      <c r="B16" s="13"/>
      <c r="C16" s="15"/>
      <c r="D16" s="6">
        <f>B16*C16</f>
        <v>0</v>
      </c>
      <c r="H16" s="9"/>
      <c r="I16" s="10"/>
      <c r="J16" s="10"/>
    </row>
    <row r="17" spans="1:10" x14ac:dyDescent="0.25">
      <c r="H17" s="9"/>
      <c r="I17" s="10"/>
      <c r="J17" s="10"/>
    </row>
    <row r="18" spans="1:10" ht="15.75" thickBot="1" x14ac:dyDescent="0.3">
      <c r="A18" s="142" t="s">
        <v>96</v>
      </c>
      <c r="B18" s="143"/>
      <c r="C18" s="144"/>
      <c r="D18" s="5">
        <f>SUM(D12:D16)</f>
        <v>229680</v>
      </c>
      <c r="H18" s="11"/>
      <c r="I18" s="10"/>
    </row>
    <row r="19" spans="1:10" x14ac:dyDescent="0.25">
      <c r="H19" s="11"/>
      <c r="I19" s="10"/>
    </row>
    <row r="20" spans="1:10" x14ac:dyDescent="0.25">
      <c r="A20" s="24"/>
      <c r="B20" s="10"/>
      <c r="H20" s="11"/>
      <c r="I20" s="10"/>
    </row>
    <row r="21" spans="1:10" x14ac:dyDescent="0.25">
      <c r="H21" s="11"/>
      <c r="I21" s="10"/>
    </row>
  </sheetData>
  <mergeCells count="10">
    <mergeCell ref="B7:D7"/>
    <mergeCell ref="B8:D8"/>
    <mergeCell ref="A10:D10"/>
    <mergeCell ref="A18:C18"/>
    <mergeCell ref="A1:D1"/>
    <mergeCell ref="B2:D2"/>
    <mergeCell ref="B3:D3"/>
    <mergeCell ref="B4:D4"/>
    <mergeCell ref="B5:D5"/>
    <mergeCell ref="B6:D6"/>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4DE7989C-AD20-47B9-9132-AC3D946C52A1}">
          <x14:formula1>
            <xm:f>Lists!$B$2:$B$14</xm:f>
          </x14:formula1>
          <xm:sqref>B3:D3</xm:sqref>
        </x14:dataValidation>
        <x14:dataValidation type="list" allowBlank="1" showInputMessage="1" showErrorMessage="1" xr:uid="{334206A5-BD0E-4AE5-BC09-1522011CE381}">
          <x14:formula1>
            <xm:f>Lists!$A$2:$A$3</xm:f>
          </x14:formula1>
          <xm:sqref>B2:D2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7A558-6C06-460B-9F76-8EA29B9FC652}">
  <dimension ref="A1:J21"/>
  <sheetViews>
    <sheetView topLeftCell="A6" workbookViewId="0">
      <selection activeCell="A14" sqref="A14"/>
    </sheetView>
  </sheetViews>
  <sheetFormatPr defaultRowHeight="15" x14ac:dyDescent="0.25"/>
  <cols>
    <col min="1" max="1" width="23" customWidth="1"/>
    <col min="2" max="2" width="13" customWidth="1"/>
    <col min="3" max="3" width="16.5703125" customWidth="1"/>
    <col min="4" max="4" width="51.5703125" customWidth="1"/>
    <col min="7" max="7" width="9.140625" customWidth="1"/>
    <col min="8" max="8" width="17.42578125" customWidth="1"/>
    <col min="9" max="9" width="16.85546875" customWidth="1"/>
    <col min="10" max="10" width="9.140625" customWidth="1"/>
  </cols>
  <sheetData>
    <row r="1" spans="1:10" ht="15.75" x14ac:dyDescent="0.25">
      <c r="A1" s="150" t="s">
        <v>73</v>
      </c>
      <c r="B1" s="151"/>
      <c r="C1" s="151"/>
      <c r="D1" s="151"/>
    </row>
    <row r="2" spans="1:10" ht="15.75" x14ac:dyDescent="0.25">
      <c r="A2" s="37" t="s">
        <v>74</v>
      </c>
      <c r="B2" s="152" t="s">
        <v>23</v>
      </c>
      <c r="C2" s="153"/>
      <c r="D2" s="154"/>
    </row>
    <row r="3" spans="1:10" ht="15.75" x14ac:dyDescent="0.25">
      <c r="A3" s="37" t="s">
        <v>75</v>
      </c>
      <c r="B3" s="152" t="s">
        <v>38</v>
      </c>
      <c r="C3" s="153"/>
      <c r="D3" s="154"/>
    </row>
    <row r="4" spans="1:10" ht="21.75" customHeight="1" x14ac:dyDescent="0.25">
      <c r="A4" s="33" t="s">
        <v>76</v>
      </c>
      <c r="B4" s="158" t="s">
        <v>108</v>
      </c>
      <c r="C4" s="158"/>
      <c r="D4" s="158"/>
    </row>
    <row r="5" spans="1:10" s="32" customFormat="1" ht="93.75" customHeight="1" x14ac:dyDescent="0.25">
      <c r="A5" s="34" t="s">
        <v>78</v>
      </c>
      <c r="B5" s="157" t="s">
        <v>109</v>
      </c>
      <c r="C5" s="157"/>
      <c r="D5" s="157"/>
    </row>
    <row r="6" spans="1:10" s="32" customFormat="1" ht="120" x14ac:dyDescent="0.25">
      <c r="A6" s="34" t="s">
        <v>80</v>
      </c>
      <c r="B6" s="157" t="s">
        <v>110</v>
      </c>
      <c r="C6" s="157"/>
      <c r="D6" s="157"/>
    </row>
    <row r="7" spans="1:10" s="32" customFormat="1" ht="30" x14ac:dyDescent="0.25">
      <c r="A7" s="34" t="s">
        <v>82</v>
      </c>
      <c r="B7" s="157" t="s">
        <v>111</v>
      </c>
      <c r="C7" s="157"/>
      <c r="D7" s="157"/>
    </row>
    <row r="8" spans="1:10" s="32" customFormat="1" ht="105" x14ac:dyDescent="0.25">
      <c r="A8" s="34" t="s">
        <v>84</v>
      </c>
      <c r="B8" s="157"/>
      <c r="C8" s="157"/>
      <c r="D8" s="157"/>
    </row>
    <row r="9" spans="1:10" x14ac:dyDescent="0.25">
      <c r="A9" s="3"/>
      <c r="B9" s="2"/>
      <c r="C9" s="2"/>
      <c r="D9" s="2"/>
    </row>
    <row r="10" spans="1:10" x14ac:dyDescent="0.25">
      <c r="A10" s="148" t="s">
        <v>85</v>
      </c>
      <c r="B10" s="149"/>
      <c r="C10" s="149"/>
      <c r="D10" s="149"/>
    </row>
    <row r="11" spans="1:10" x14ac:dyDescent="0.25">
      <c r="A11" s="27" t="s">
        <v>86</v>
      </c>
      <c r="B11" s="28" t="s">
        <v>87</v>
      </c>
      <c r="C11" s="28" t="s">
        <v>88</v>
      </c>
      <c r="D11" s="30" t="s">
        <v>89</v>
      </c>
    </row>
    <row r="12" spans="1:10" x14ac:dyDescent="0.25">
      <c r="A12" s="107" t="s">
        <v>112</v>
      </c>
      <c r="B12" s="45">
        <v>15000</v>
      </c>
      <c r="C12" s="45">
        <v>3</v>
      </c>
      <c r="D12" s="6">
        <f t="shared" ref="D12:D14" si="0">B12*C12</f>
        <v>45000</v>
      </c>
    </row>
    <row r="13" spans="1:10" x14ac:dyDescent="0.25">
      <c r="A13" s="107" t="s">
        <v>113</v>
      </c>
      <c r="B13" s="45">
        <v>15000</v>
      </c>
      <c r="C13" s="45">
        <v>1</v>
      </c>
      <c r="D13" s="6">
        <f t="shared" si="0"/>
        <v>15000</v>
      </c>
    </row>
    <row r="14" spans="1:10" x14ac:dyDescent="0.25">
      <c r="A14" s="107" t="s">
        <v>114</v>
      </c>
      <c r="B14" s="45">
        <v>15000</v>
      </c>
      <c r="C14" s="45">
        <v>2</v>
      </c>
      <c r="D14" s="6">
        <f t="shared" si="0"/>
        <v>30000</v>
      </c>
    </row>
    <row r="15" spans="1:10" x14ac:dyDescent="0.25">
      <c r="A15" s="12"/>
      <c r="B15" s="13"/>
      <c r="C15" s="14"/>
      <c r="D15" s="6">
        <f>B15*C15</f>
        <v>0</v>
      </c>
      <c r="H15" s="9"/>
      <c r="I15" s="10"/>
      <c r="J15" s="10"/>
    </row>
    <row r="16" spans="1:10" x14ac:dyDescent="0.25">
      <c r="A16" s="12"/>
      <c r="B16" s="13"/>
      <c r="C16" s="15"/>
      <c r="D16" s="6">
        <f>B16*C16</f>
        <v>0</v>
      </c>
      <c r="H16" s="9"/>
      <c r="I16" s="10"/>
      <c r="J16" s="10"/>
    </row>
    <row r="17" spans="1:10" x14ac:dyDescent="0.25">
      <c r="A17" s="12"/>
      <c r="B17" s="13"/>
      <c r="C17" s="16"/>
      <c r="D17" s="6">
        <f>B17*C17</f>
        <v>0</v>
      </c>
      <c r="H17" s="9"/>
      <c r="I17" s="10"/>
      <c r="J17" s="10"/>
    </row>
    <row r="18" spans="1:10" x14ac:dyDescent="0.25">
      <c r="A18" s="142" t="s">
        <v>96</v>
      </c>
      <c r="B18" s="143"/>
      <c r="C18" s="144"/>
      <c r="D18" s="5">
        <f>SUM(D12:D17)</f>
        <v>90000</v>
      </c>
      <c r="H18" s="11"/>
      <c r="I18" s="10"/>
    </row>
    <row r="19" spans="1:10" x14ac:dyDescent="0.25">
      <c r="H19" s="11"/>
      <c r="I19" s="10"/>
    </row>
    <row r="20" spans="1:10" x14ac:dyDescent="0.25">
      <c r="A20" s="24"/>
      <c r="B20" s="10"/>
      <c r="H20" s="11"/>
      <c r="I20" s="10"/>
    </row>
    <row r="21" spans="1:10" x14ac:dyDescent="0.25">
      <c r="H21" s="11"/>
      <c r="I21" s="10"/>
    </row>
  </sheetData>
  <mergeCells count="10">
    <mergeCell ref="B7:D7"/>
    <mergeCell ref="B8:D8"/>
    <mergeCell ref="A10:D10"/>
    <mergeCell ref="A18:C18"/>
    <mergeCell ref="A1:D1"/>
    <mergeCell ref="B2:D2"/>
    <mergeCell ref="B3:D3"/>
    <mergeCell ref="B4:D4"/>
    <mergeCell ref="B5:D5"/>
    <mergeCell ref="B6:D6"/>
  </mergeCells>
  <pageMargins left="0.7" right="0.7" top="0.75" bottom="0.75" header="0.3" footer="0.3"/>
  <pageSetup orientation="portrait"/>
  <extLst>
    <ext xmlns:x14="http://schemas.microsoft.com/office/spreadsheetml/2009/9/main" uri="{CCE6A557-97BC-4b89-ADB6-D9C93CAAB3DF}">
      <x14:dataValidations xmlns:xm="http://schemas.microsoft.com/office/excel/2006/main" count="2">
        <x14:dataValidation type="list" allowBlank="1" showInputMessage="1" showErrorMessage="1" xr:uid="{CF542867-8E11-45F2-A99A-F7C9B4627FBF}">
          <x14:formula1>
            <xm:f>Lists!$B$2:$B$14</xm:f>
          </x14:formula1>
          <xm:sqref>B3:D3</xm:sqref>
        </x14:dataValidation>
        <x14:dataValidation type="list" allowBlank="1" showInputMessage="1" showErrorMessage="1" xr:uid="{3EAE434F-719C-4C81-B21A-83F7E2F79C93}">
          <x14:formula1>
            <xm:f>Lists!$A$2:$A$3</xm:f>
          </x14:formula1>
          <xm:sqref>B2:D2</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8CA3F-7D32-4F76-9C5D-61CBCD77095A}">
  <dimension ref="A1:J21"/>
  <sheetViews>
    <sheetView topLeftCell="A5" workbookViewId="0">
      <selection activeCell="B5" sqref="B5:D5"/>
    </sheetView>
  </sheetViews>
  <sheetFormatPr defaultRowHeight="15" x14ac:dyDescent="0.25"/>
  <cols>
    <col min="1" max="1" width="23" customWidth="1"/>
    <col min="2" max="2" width="13" customWidth="1"/>
    <col min="3" max="3" width="16.5703125" customWidth="1"/>
    <col min="4" max="4" width="51.5703125" customWidth="1"/>
    <col min="7" max="7" width="9.140625" customWidth="1"/>
    <col min="8" max="8" width="17.42578125" customWidth="1"/>
    <col min="9" max="9" width="16.85546875" customWidth="1"/>
    <col min="10" max="10" width="9.140625" customWidth="1"/>
  </cols>
  <sheetData>
    <row r="1" spans="1:10" ht="15.75" x14ac:dyDescent="0.25">
      <c r="A1" s="150" t="s">
        <v>73</v>
      </c>
      <c r="B1" s="151"/>
      <c r="C1" s="151"/>
      <c r="D1" s="151"/>
    </row>
    <row r="2" spans="1:10" ht="15.75" x14ac:dyDescent="0.25">
      <c r="A2" s="37" t="s">
        <v>74</v>
      </c>
      <c r="B2" s="152" t="s">
        <v>23</v>
      </c>
      <c r="C2" s="153"/>
      <c r="D2" s="154"/>
    </row>
    <row r="3" spans="1:10" ht="15.75" x14ac:dyDescent="0.25">
      <c r="A3" s="37" t="s">
        <v>75</v>
      </c>
      <c r="B3" s="152" t="s">
        <v>38</v>
      </c>
      <c r="C3" s="153"/>
      <c r="D3" s="154"/>
    </row>
    <row r="4" spans="1:10" ht="21.75" customHeight="1" x14ac:dyDescent="0.25">
      <c r="A4" s="33" t="s">
        <v>76</v>
      </c>
      <c r="B4" s="158" t="s">
        <v>108</v>
      </c>
      <c r="C4" s="158"/>
      <c r="D4" s="158"/>
    </row>
    <row r="5" spans="1:10" s="32" customFormat="1" ht="97.5" customHeight="1" x14ac:dyDescent="0.25">
      <c r="A5" s="34" t="s">
        <v>78</v>
      </c>
      <c r="B5" s="157" t="s">
        <v>115</v>
      </c>
      <c r="C5" s="157"/>
      <c r="D5" s="157"/>
    </row>
    <row r="6" spans="1:10" s="32" customFormat="1" ht="120" x14ac:dyDescent="0.25">
      <c r="A6" s="34" t="s">
        <v>80</v>
      </c>
      <c r="B6" s="157" t="s">
        <v>116</v>
      </c>
      <c r="C6" s="157"/>
      <c r="D6" s="157"/>
    </row>
    <row r="7" spans="1:10" s="32" customFormat="1" ht="30" x14ac:dyDescent="0.25">
      <c r="A7" s="34" t="s">
        <v>82</v>
      </c>
      <c r="B7" s="157" t="s">
        <v>111</v>
      </c>
      <c r="C7" s="157"/>
      <c r="D7" s="157"/>
    </row>
    <row r="8" spans="1:10" s="32" customFormat="1" ht="105" x14ac:dyDescent="0.25">
      <c r="A8" s="34" t="s">
        <v>84</v>
      </c>
      <c r="B8" s="157"/>
      <c r="C8" s="157"/>
      <c r="D8" s="157"/>
    </row>
    <row r="9" spans="1:10" x14ac:dyDescent="0.25">
      <c r="A9" s="3"/>
      <c r="B9" s="2"/>
      <c r="C9" s="2"/>
      <c r="D9" s="2"/>
    </row>
    <row r="10" spans="1:10" x14ac:dyDescent="0.25">
      <c r="A10" s="148" t="s">
        <v>85</v>
      </c>
      <c r="B10" s="149"/>
      <c r="C10" s="149"/>
      <c r="D10" s="149"/>
    </row>
    <row r="11" spans="1:10" x14ac:dyDescent="0.25">
      <c r="A11" s="27" t="s">
        <v>86</v>
      </c>
      <c r="B11" s="28" t="s">
        <v>87</v>
      </c>
      <c r="C11" s="28" t="s">
        <v>88</v>
      </c>
      <c r="D11" s="30" t="s">
        <v>89</v>
      </c>
    </row>
    <row r="12" spans="1:10" x14ac:dyDescent="0.25">
      <c r="A12" s="107" t="s">
        <v>117</v>
      </c>
      <c r="B12" s="45">
        <v>15000</v>
      </c>
      <c r="C12" s="45">
        <v>1</v>
      </c>
      <c r="D12" s="6">
        <f t="shared" ref="D12:D14" si="0">B12*C12</f>
        <v>15000</v>
      </c>
    </row>
    <row r="13" spans="1:10" x14ac:dyDescent="0.25">
      <c r="A13" s="107" t="s">
        <v>118</v>
      </c>
      <c r="B13" s="45">
        <v>5000</v>
      </c>
      <c r="C13" s="45">
        <v>1</v>
      </c>
      <c r="D13" s="6">
        <f t="shared" si="0"/>
        <v>5000</v>
      </c>
    </row>
    <row r="14" spans="1:10" x14ac:dyDescent="0.25">
      <c r="A14" s="124" t="s">
        <v>114</v>
      </c>
      <c r="B14" s="45">
        <v>15000</v>
      </c>
      <c r="C14" s="45">
        <v>1</v>
      </c>
      <c r="D14" s="6">
        <f t="shared" si="0"/>
        <v>15000</v>
      </c>
    </row>
    <row r="15" spans="1:10" x14ac:dyDescent="0.25">
      <c r="A15" s="12"/>
      <c r="B15" s="13"/>
      <c r="C15" s="14"/>
      <c r="D15" s="6">
        <f>B15*C15</f>
        <v>0</v>
      </c>
      <c r="H15" s="9"/>
      <c r="I15" s="10"/>
      <c r="J15" s="10"/>
    </row>
    <row r="16" spans="1:10" x14ac:dyDescent="0.25">
      <c r="A16" s="12"/>
      <c r="B16" s="13"/>
      <c r="C16" s="15"/>
      <c r="D16" s="6">
        <f>B16*C16</f>
        <v>0</v>
      </c>
      <c r="H16" s="9"/>
      <c r="I16" s="10"/>
      <c r="J16" s="10"/>
    </row>
    <row r="17" spans="1:10" x14ac:dyDescent="0.25">
      <c r="A17" s="12"/>
      <c r="B17" s="13"/>
      <c r="C17" s="16"/>
      <c r="D17" s="6">
        <f>B17*C17</f>
        <v>0</v>
      </c>
      <c r="H17" s="9"/>
      <c r="I17" s="10"/>
      <c r="J17" s="10"/>
    </row>
    <row r="18" spans="1:10" x14ac:dyDescent="0.25">
      <c r="A18" s="142" t="s">
        <v>96</v>
      </c>
      <c r="B18" s="143"/>
      <c r="C18" s="144"/>
      <c r="D18" s="5">
        <f>SUM(D12:D17)</f>
        <v>35000</v>
      </c>
      <c r="H18" s="11"/>
      <c r="I18" s="10"/>
    </row>
    <row r="19" spans="1:10" x14ac:dyDescent="0.25">
      <c r="H19" s="11"/>
      <c r="I19" s="10"/>
    </row>
    <row r="20" spans="1:10" x14ac:dyDescent="0.25">
      <c r="A20" s="24"/>
      <c r="B20" s="10"/>
      <c r="H20" s="11"/>
      <c r="I20" s="10"/>
    </row>
    <row r="21" spans="1:10" x14ac:dyDescent="0.25">
      <c r="H21" s="11"/>
      <c r="I21" s="10"/>
    </row>
  </sheetData>
  <mergeCells count="10">
    <mergeCell ref="B7:D7"/>
    <mergeCell ref="B8:D8"/>
    <mergeCell ref="A10:D10"/>
    <mergeCell ref="A18:C18"/>
    <mergeCell ref="A1:D1"/>
    <mergeCell ref="B2:D2"/>
    <mergeCell ref="B3:D3"/>
    <mergeCell ref="B4:D4"/>
    <mergeCell ref="B5:D5"/>
    <mergeCell ref="B6:D6"/>
  </mergeCells>
  <pageMargins left="0.7" right="0.7" top="0.75" bottom="0.75" header="0.3" footer="0.3"/>
  <pageSetup orientation="portrait"/>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A5325E7-6CF7-47FA-B644-4E79D29D6654}">
          <x14:formula1>
            <xm:f>Lists!$A$2:$A$3</xm:f>
          </x14:formula1>
          <xm:sqref>B2:D2</xm:sqref>
        </x14:dataValidation>
        <x14:dataValidation type="list" allowBlank="1" showInputMessage="1" showErrorMessage="1" xr:uid="{505820AD-9FBE-451E-97C3-4C17C8F0F9C7}">
          <x14:formula1>
            <xm:f>Lists!$B$2:$B$14</xm:f>
          </x14:formula1>
          <xm:sqref>B3:D3</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20FC1-E80D-4440-9F74-FDE946014E3E}">
  <dimension ref="A1:J25"/>
  <sheetViews>
    <sheetView topLeftCell="A6" workbookViewId="0">
      <selection activeCell="D23" sqref="D23"/>
    </sheetView>
  </sheetViews>
  <sheetFormatPr defaultRowHeight="15" x14ac:dyDescent="0.25"/>
  <cols>
    <col min="1" max="1" width="23" customWidth="1"/>
    <col min="2" max="2" width="13" customWidth="1"/>
    <col min="3" max="3" width="16.5703125" customWidth="1"/>
    <col min="4" max="4" width="51.5703125" customWidth="1"/>
    <col min="7" max="7" width="9.140625" customWidth="1"/>
    <col min="8" max="8" width="17.42578125" customWidth="1"/>
    <col min="9" max="9" width="16.85546875" customWidth="1"/>
    <col min="10" max="10" width="9.140625" customWidth="1"/>
  </cols>
  <sheetData>
    <row r="1" spans="1:4" ht="15.75" x14ac:dyDescent="0.25">
      <c r="A1" s="150" t="s">
        <v>73</v>
      </c>
      <c r="B1" s="151"/>
      <c r="C1" s="151"/>
      <c r="D1" s="151"/>
    </row>
    <row r="2" spans="1:4" ht="15.75" x14ac:dyDescent="0.25">
      <c r="A2" s="37" t="s">
        <v>74</v>
      </c>
      <c r="B2" s="165" t="s">
        <v>23</v>
      </c>
      <c r="C2" s="166"/>
      <c r="D2" s="167"/>
    </row>
    <row r="3" spans="1:4" ht="15.75" x14ac:dyDescent="0.25">
      <c r="A3" s="37" t="s">
        <v>75</v>
      </c>
      <c r="B3" s="165" t="s">
        <v>38</v>
      </c>
      <c r="C3" s="166"/>
      <c r="D3" s="167"/>
    </row>
    <row r="4" spans="1:4" ht="21.75" customHeight="1" x14ac:dyDescent="0.25">
      <c r="A4" s="33" t="s">
        <v>76</v>
      </c>
      <c r="B4" s="168" t="s">
        <v>44</v>
      </c>
      <c r="C4" s="169"/>
      <c r="D4" s="170"/>
    </row>
    <row r="5" spans="1:4" s="32" customFormat="1" ht="94.5" customHeight="1" x14ac:dyDescent="0.25">
      <c r="A5" s="34" t="s">
        <v>78</v>
      </c>
      <c r="B5" s="159" t="s">
        <v>119</v>
      </c>
      <c r="C5" s="160"/>
      <c r="D5" s="161"/>
    </row>
    <row r="6" spans="1:4" s="32" customFormat="1" ht="120" x14ac:dyDescent="0.25">
      <c r="A6" s="34" t="s">
        <v>80</v>
      </c>
      <c r="B6" s="159" t="s">
        <v>120</v>
      </c>
      <c r="C6" s="160"/>
      <c r="D6" s="161"/>
    </row>
    <row r="7" spans="1:4" s="32" customFormat="1" ht="66" customHeight="1" x14ac:dyDescent="0.25">
      <c r="A7" s="34" t="s">
        <v>82</v>
      </c>
      <c r="B7" s="159" t="s">
        <v>121</v>
      </c>
      <c r="C7" s="160"/>
      <c r="D7" s="161"/>
    </row>
    <row r="8" spans="1:4" s="32" customFormat="1" ht="105" x14ac:dyDescent="0.25">
      <c r="A8" s="34" t="s">
        <v>84</v>
      </c>
      <c r="B8" s="162"/>
      <c r="C8" s="163"/>
      <c r="D8" s="164"/>
    </row>
    <row r="9" spans="1:4" x14ac:dyDescent="0.25">
      <c r="A9" s="3"/>
      <c r="B9" s="2"/>
      <c r="C9" s="2"/>
      <c r="D9" s="2"/>
    </row>
    <row r="10" spans="1:4" x14ac:dyDescent="0.25">
      <c r="A10" s="148" t="s">
        <v>85</v>
      </c>
      <c r="B10" s="149"/>
      <c r="C10" s="149"/>
      <c r="D10" s="149"/>
    </row>
    <row r="11" spans="1:4" x14ac:dyDescent="0.25">
      <c r="A11" s="27" t="s">
        <v>86</v>
      </c>
      <c r="B11" s="28" t="s">
        <v>87</v>
      </c>
      <c r="C11" s="28" t="s">
        <v>88</v>
      </c>
      <c r="D11" s="30" t="s">
        <v>89</v>
      </c>
    </row>
    <row r="12" spans="1:4" x14ac:dyDescent="0.25">
      <c r="A12" s="99" t="s">
        <v>122</v>
      </c>
      <c r="B12" s="100">
        <v>5000</v>
      </c>
      <c r="C12" s="100">
        <v>6</v>
      </c>
      <c r="D12" s="6">
        <f t="shared" ref="D12:D19" si="0">B12*C12</f>
        <v>30000</v>
      </c>
    </row>
    <row r="13" spans="1:4" x14ac:dyDescent="0.25">
      <c r="A13" s="99" t="s">
        <v>123</v>
      </c>
      <c r="B13" s="100">
        <v>1000</v>
      </c>
      <c r="C13" s="100">
        <v>8</v>
      </c>
      <c r="D13" s="6">
        <f t="shared" si="0"/>
        <v>8000</v>
      </c>
    </row>
    <row r="14" spans="1:4" x14ac:dyDescent="0.25">
      <c r="A14" s="99" t="s">
        <v>124</v>
      </c>
      <c r="B14" s="100">
        <v>900</v>
      </c>
      <c r="C14" s="100">
        <v>2</v>
      </c>
      <c r="D14" s="6">
        <f t="shared" si="0"/>
        <v>1800</v>
      </c>
    </row>
    <row r="15" spans="1:4" x14ac:dyDescent="0.25">
      <c r="A15" s="101" t="s">
        <v>125</v>
      </c>
      <c r="B15" s="102">
        <v>4.4000000000000004</v>
      </c>
      <c r="C15" s="125">
        <v>3600</v>
      </c>
      <c r="D15" s="6">
        <f t="shared" si="0"/>
        <v>15840.000000000002</v>
      </c>
    </row>
    <row r="16" spans="1:4" x14ac:dyDescent="0.25">
      <c r="A16" s="103" t="s">
        <v>126</v>
      </c>
      <c r="B16" s="104">
        <v>3000</v>
      </c>
      <c r="C16" s="105">
        <v>2</v>
      </c>
      <c r="D16" s="6">
        <f t="shared" si="0"/>
        <v>6000</v>
      </c>
    </row>
    <row r="17" spans="1:10" x14ac:dyDescent="0.25">
      <c r="A17" s="103" t="s">
        <v>127</v>
      </c>
      <c r="B17" s="104">
        <v>27</v>
      </c>
      <c r="C17" s="105">
        <v>16</v>
      </c>
      <c r="D17" s="6">
        <f t="shared" si="0"/>
        <v>432</v>
      </c>
    </row>
    <row r="18" spans="1:10" x14ac:dyDescent="0.25">
      <c r="A18" s="89" t="s">
        <v>128</v>
      </c>
      <c r="B18" s="91">
        <v>3</v>
      </c>
      <c r="C18" s="90">
        <v>32</v>
      </c>
      <c r="D18" s="6">
        <f t="shared" si="0"/>
        <v>96</v>
      </c>
      <c r="H18" s="9"/>
      <c r="I18" s="10"/>
      <c r="J18" s="10"/>
    </row>
    <row r="19" spans="1:10" x14ac:dyDescent="0.25">
      <c r="A19" s="89" t="s">
        <v>129</v>
      </c>
      <c r="B19" s="91">
        <v>20000</v>
      </c>
      <c r="C19" s="90">
        <v>2</v>
      </c>
      <c r="D19" s="6">
        <f t="shared" si="0"/>
        <v>40000</v>
      </c>
      <c r="H19" s="9"/>
      <c r="I19" s="10"/>
      <c r="J19" s="10"/>
    </row>
    <row r="20" spans="1:10" x14ac:dyDescent="0.25">
      <c r="A20" s="124" t="s">
        <v>130</v>
      </c>
      <c r="B20" s="13">
        <v>5000</v>
      </c>
      <c r="C20" s="15">
        <v>3</v>
      </c>
      <c r="D20" s="6">
        <f>B20*C20</f>
        <v>15000</v>
      </c>
      <c r="H20" s="9"/>
      <c r="I20" s="10"/>
      <c r="J20" s="10"/>
    </row>
    <row r="21" spans="1:10" x14ac:dyDescent="0.25">
      <c r="A21" s="12"/>
      <c r="B21" s="13"/>
      <c r="C21" s="16"/>
      <c r="D21" s="6">
        <f>B21*C21</f>
        <v>0</v>
      </c>
      <c r="H21" s="9"/>
      <c r="I21" s="10"/>
      <c r="J21" s="10"/>
    </row>
    <row r="22" spans="1:10" x14ac:dyDescent="0.25">
      <c r="A22" s="142" t="s">
        <v>96</v>
      </c>
      <c r="B22" s="143"/>
      <c r="C22" s="144"/>
      <c r="D22" s="5">
        <f>SUM(D12:D21)</f>
        <v>117168</v>
      </c>
      <c r="H22" s="11"/>
      <c r="I22" s="10"/>
    </row>
    <row r="23" spans="1:10" x14ac:dyDescent="0.25">
      <c r="H23" s="11"/>
      <c r="I23" s="10"/>
    </row>
    <row r="24" spans="1:10" x14ac:dyDescent="0.25">
      <c r="A24" s="24"/>
      <c r="B24" s="10"/>
      <c r="H24" s="11"/>
      <c r="I24" s="10"/>
    </row>
    <row r="25" spans="1:10" x14ac:dyDescent="0.25">
      <c r="H25" s="11"/>
      <c r="I25" s="10"/>
    </row>
  </sheetData>
  <mergeCells count="10">
    <mergeCell ref="B7:D7"/>
    <mergeCell ref="B8:D8"/>
    <mergeCell ref="A10:D10"/>
    <mergeCell ref="A22:C22"/>
    <mergeCell ref="A1:D1"/>
    <mergeCell ref="B2:D2"/>
    <mergeCell ref="B3:D3"/>
    <mergeCell ref="B4:D4"/>
    <mergeCell ref="B5:D5"/>
    <mergeCell ref="B6:D6"/>
  </mergeCells>
  <pageMargins left="0.7" right="0.7" top="0.75" bottom="0.75" header="0.3" footer="0.3"/>
  <pageSetup orientation="portrait"/>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DB65F-BBEB-4E9C-8A0C-57F3BD3691BD}">
  <dimension ref="A1:J21"/>
  <sheetViews>
    <sheetView topLeftCell="A5" workbookViewId="0">
      <selection activeCell="D20" sqref="D20"/>
    </sheetView>
  </sheetViews>
  <sheetFormatPr defaultRowHeight="15" x14ac:dyDescent="0.25"/>
  <cols>
    <col min="1" max="1" width="23" customWidth="1"/>
    <col min="2" max="2" width="13" customWidth="1"/>
    <col min="3" max="3" width="16.5703125" customWidth="1"/>
    <col min="4" max="4" width="51.5703125" customWidth="1"/>
    <col min="7" max="7" width="9.140625" customWidth="1"/>
    <col min="8" max="8" width="17.42578125" customWidth="1"/>
    <col min="9" max="9" width="16.85546875" customWidth="1"/>
    <col min="10" max="10" width="9.140625" customWidth="1"/>
  </cols>
  <sheetData>
    <row r="1" spans="1:10" ht="15.75" x14ac:dyDescent="0.25">
      <c r="A1" s="150" t="s">
        <v>73</v>
      </c>
      <c r="B1" s="151"/>
      <c r="C1" s="151"/>
      <c r="D1" s="151"/>
    </row>
    <row r="2" spans="1:10" ht="15.75" x14ac:dyDescent="0.25">
      <c r="A2" s="37" t="s">
        <v>74</v>
      </c>
      <c r="B2" s="165" t="s">
        <v>23</v>
      </c>
      <c r="C2" s="166"/>
      <c r="D2" s="167"/>
    </row>
    <row r="3" spans="1:10" ht="15.75" x14ac:dyDescent="0.25">
      <c r="A3" s="37" t="s">
        <v>75</v>
      </c>
      <c r="B3" s="165" t="s">
        <v>46</v>
      </c>
      <c r="C3" s="166"/>
      <c r="D3" s="167"/>
    </row>
    <row r="4" spans="1:10" ht="21.75" customHeight="1" x14ac:dyDescent="0.25">
      <c r="A4" s="33" t="s">
        <v>76</v>
      </c>
      <c r="B4" s="168" t="s">
        <v>131</v>
      </c>
      <c r="C4" s="169"/>
      <c r="D4" s="170"/>
    </row>
    <row r="5" spans="1:10" s="32" customFormat="1" ht="60" x14ac:dyDescent="0.25">
      <c r="A5" s="34" t="s">
        <v>78</v>
      </c>
      <c r="B5" s="171" t="s">
        <v>132</v>
      </c>
      <c r="C5" s="172"/>
      <c r="D5" s="173"/>
    </row>
    <row r="6" spans="1:10" s="32" customFormat="1" ht="120" x14ac:dyDescent="0.25">
      <c r="A6" s="34" t="s">
        <v>80</v>
      </c>
      <c r="B6" s="171" t="s">
        <v>133</v>
      </c>
      <c r="C6" s="172"/>
      <c r="D6" s="173"/>
    </row>
    <row r="7" spans="1:10" s="32" customFormat="1" ht="30" x14ac:dyDescent="0.25">
      <c r="A7" s="34" t="s">
        <v>82</v>
      </c>
      <c r="B7" s="171" t="s">
        <v>134</v>
      </c>
      <c r="C7" s="172"/>
      <c r="D7" s="173"/>
    </row>
    <row r="8" spans="1:10" s="32" customFormat="1" ht="105" x14ac:dyDescent="0.25">
      <c r="A8" s="34" t="s">
        <v>84</v>
      </c>
      <c r="B8" s="174"/>
      <c r="C8" s="175"/>
      <c r="D8" s="176"/>
    </row>
    <row r="9" spans="1:10" x14ac:dyDescent="0.25">
      <c r="A9" s="3"/>
      <c r="B9" s="2"/>
      <c r="C9" s="2"/>
      <c r="D9" s="2"/>
    </row>
    <row r="10" spans="1:10" x14ac:dyDescent="0.25">
      <c r="A10" s="148" t="s">
        <v>85</v>
      </c>
      <c r="B10" s="149"/>
      <c r="C10" s="149"/>
      <c r="D10" s="149"/>
    </row>
    <row r="11" spans="1:10" x14ac:dyDescent="0.25">
      <c r="A11" s="27" t="s">
        <v>86</v>
      </c>
      <c r="B11" s="28" t="s">
        <v>87</v>
      </c>
      <c r="C11" s="28" t="s">
        <v>88</v>
      </c>
      <c r="D11" s="30" t="s">
        <v>89</v>
      </c>
    </row>
    <row r="12" spans="1:10" x14ac:dyDescent="0.25">
      <c r="A12" s="50" t="s">
        <v>135</v>
      </c>
      <c r="B12" s="87">
        <v>4000</v>
      </c>
      <c r="C12" s="51">
        <v>2</v>
      </c>
      <c r="D12" s="79">
        <v>8000</v>
      </c>
    </row>
    <row r="13" spans="1:10" x14ac:dyDescent="0.25">
      <c r="A13" s="52" t="s">
        <v>136</v>
      </c>
      <c r="B13" s="88">
        <v>150</v>
      </c>
      <c r="C13" s="53">
        <v>117</v>
      </c>
      <c r="D13" s="79">
        <v>17550</v>
      </c>
    </row>
    <row r="14" spans="1:10" x14ac:dyDescent="0.25">
      <c r="A14" s="52" t="s">
        <v>137</v>
      </c>
      <c r="B14" s="88">
        <v>16</v>
      </c>
      <c r="C14" s="53">
        <v>94</v>
      </c>
      <c r="D14" s="79">
        <v>1504</v>
      </c>
    </row>
    <row r="15" spans="1:10" x14ac:dyDescent="0.25">
      <c r="A15" s="89" t="s">
        <v>138</v>
      </c>
      <c r="B15" s="88">
        <v>1</v>
      </c>
      <c r="C15" s="53">
        <v>250</v>
      </c>
      <c r="D15" s="79">
        <v>250</v>
      </c>
      <c r="H15" s="9"/>
      <c r="I15" s="10"/>
      <c r="J15" s="10"/>
    </row>
    <row r="16" spans="1:10" x14ac:dyDescent="0.25">
      <c r="A16" s="89" t="s">
        <v>139</v>
      </c>
      <c r="B16" s="91">
        <v>164</v>
      </c>
      <c r="C16" s="90">
        <v>117</v>
      </c>
      <c r="D16" s="79">
        <v>19188</v>
      </c>
      <c r="H16" s="9"/>
      <c r="I16" s="10"/>
      <c r="J16" s="10"/>
    </row>
    <row r="17" spans="1:10" x14ac:dyDescent="0.25">
      <c r="A17" s="12"/>
      <c r="B17" s="13"/>
      <c r="C17" s="16"/>
      <c r="D17" s="6">
        <f>B17*C17</f>
        <v>0</v>
      </c>
      <c r="H17" s="9"/>
      <c r="I17" s="10"/>
      <c r="J17" s="10"/>
    </row>
    <row r="18" spans="1:10" x14ac:dyDescent="0.25">
      <c r="A18" s="142" t="s">
        <v>96</v>
      </c>
      <c r="B18" s="143"/>
      <c r="C18" s="144"/>
      <c r="D18" s="5">
        <f>SUM(D12:D17)</f>
        <v>46492</v>
      </c>
      <c r="H18" s="11"/>
      <c r="I18" s="10"/>
    </row>
    <row r="19" spans="1:10" x14ac:dyDescent="0.25">
      <c r="H19" s="11"/>
      <c r="I19" s="10"/>
    </row>
    <row r="20" spans="1:10" x14ac:dyDescent="0.25">
      <c r="A20" s="24"/>
      <c r="B20" s="10"/>
      <c r="H20" s="11"/>
      <c r="I20" s="10"/>
    </row>
    <row r="21" spans="1:10" x14ac:dyDescent="0.25">
      <c r="H21" s="11"/>
      <c r="I21" s="10"/>
    </row>
  </sheetData>
  <mergeCells count="10">
    <mergeCell ref="B7:D7"/>
    <mergeCell ref="B8:D8"/>
    <mergeCell ref="A10:D10"/>
    <mergeCell ref="A18:C18"/>
    <mergeCell ref="A1:D1"/>
    <mergeCell ref="B2:D2"/>
    <mergeCell ref="B3:D3"/>
    <mergeCell ref="B4:D4"/>
    <mergeCell ref="B5:D5"/>
    <mergeCell ref="B6:D6"/>
  </mergeCells>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B8CEF-EF49-4675-ACE2-3403940F7BF1}">
  <dimension ref="A1:J21"/>
  <sheetViews>
    <sheetView topLeftCell="A7" workbookViewId="0">
      <selection activeCell="A12" sqref="A12:D15"/>
    </sheetView>
  </sheetViews>
  <sheetFormatPr defaultRowHeight="15" x14ac:dyDescent="0.25"/>
  <cols>
    <col min="1" max="1" width="23" customWidth="1"/>
    <col min="2" max="2" width="13" customWidth="1"/>
    <col min="3" max="3" width="16.5703125" customWidth="1"/>
    <col min="4" max="4" width="51.5703125" customWidth="1"/>
    <col min="7" max="7" width="9.140625" customWidth="1"/>
    <col min="8" max="8" width="17.42578125" customWidth="1"/>
    <col min="9" max="9" width="16.85546875" customWidth="1"/>
    <col min="10" max="10" width="9.140625" customWidth="1"/>
  </cols>
  <sheetData>
    <row r="1" spans="1:10" ht="15.75" x14ac:dyDescent="0.25">
      <c r="A1" s="150" t="s">
        <v>73</v>
      </c>
      <c r="B1" s="151"/>
      <c r="C1" s="151"/>
      <c r="D1" s="151"/>
    </row>
    <row r="2" spans="1:10" ht="15.75" x14ac:dyDescent="0.25">
      <c r="A2" s="37" t="s">
        <v>74</v>
      </c>
      <c r="B2" s="165" t="s">
        <v>23</v>
      </c>
      <c r="C2" s="166"/>
      <c r="D2" s="167"/>
    </row>
    <row r="3" spans="1:10" ht="15.75" x14ac:dyDescent="0.25">
      <c r="A3" s="37" t="s">
        <v>75</v>
      </c>
      <c r="B3" s="165" t="s">
        <v>46</v>
      </c>
      <c r="C3" s="166"/>
      <c r="D3" s="167"/>
    </row>
    <row r="4" spans="1:10" ht="21.75" customHeight="1" x14ac:dyDescent="0.25">
      <c r="A4" s="33" t="s">
        <v>76</v>
      </c>
      <c r="B4" s="168" t="s">
        <v>140</v>
      </c>
      <c r="C4" s="169"/>
      <c r="D4" s="170"/>
    </row>
    <row r="5" spans="1:10" s="32" customFormat="1" ht="60" x14ac:dyDescent="0.25">
      <c r="A5" s="34" t="s">
        <v>78</v>
      </c>
      <c r="B5" s="171" t="s">
        <v>141</v>
      </c>
      <c r="C5" s="172"/>
      <c r="D5" s="173"/>
    </row>
    <row r="6" spans="1:10" s="32" customFormat="1" ht="120" x14ac:dyDescent="0.25">
      <c r="A6" s="34" t="s">
        <v>80</v>
      </c>
      <c r="B6" s="171" t="s">
        <v>133</v>
      </c>
      <c r="C6" s="172"/>
      <c r="D6" s="173"/>
    </row>
    <row r="7" spans="1:10" s="32" customFormat="1" ht="30" x14ac:dyDescent="0.25">
      <c r="A7" s="34" t="s">
        <v>82</v>
      </c>
      <c r="B7" s="171" t="s">
        <v>134</v>
      </c>
      <c r="C7" s="172"/>
      <c r="D7" s="173"/>
    </row>
    <row r="8" spans="1:10" s="32" customFormat="1" ht="105" x14ac:dyDescent="0.25">
      <c r="A8" s="34" t="s">
        <v>84</v>
      </c>
      <c r="B8" s="174"/>
      <c r="C8" s="175"/>
      <c r="D8" s="176"/>
    </row>
    <row r="9" spans="1:10" x14ac:dyDescent="0.25">
      <c r="A9" s="3"/>
      <c r="B9" s="2"/>
      <c r="C9" s="2"/>
      <c r="D9" s="2"/>
    </row>
    <row r="10" spans="1:10" x14ac:dyDescent="0.25">
      <c r="A10" s="148" t="s">
        <v>85</v>
      </c>
      <c r="B10" s="149"/>
      <c r="C10" s="149"/>
      <c r="D10" s="149"/>
    </row>
    <row r="11" spans="1:10" x14ac:dyDescent="0.25">
      <c r="A11" s="27" t="s">
        <v>86</v>
      </c>
      <c r="B11" s="28" t="s">
        <v>87</v>
      </c>
      <c r="C11" s="28" t="s">
        <v>88</v>
      </c>
      <c r="D11" s="30" t="s">
        <v>89</v>
      </c>
    </row>
    <row r="12" spans="1:10" x14ac:dyDescent="0.25">
      <c r="A12" s="50" t="s">
        <v>136</v>
      </c>
      <c r="B12" s="87">
        <v>150</v>
      </c>
      <c r="C12" s="51">
        <v>6</v>
      </c>
      <c r="D12" s="79">
        <v>900</v>
      </c>
    </row>
    <row r="13" spans="1:10" x14ac:dyDescent="0.25">
      <c r="A13" s="52" t="s">
        <v>137</v>
      </c>
      <c r="B13" s="88">
        <v>16</v>
      </c>
      <c r="C13" s="53">
        <v>5</v>
      </c>
      <c r="D13" s="79">
        <v>80</v>
      </c>
    </row>
    <row r="14" spans="1:10" x14ac:dyDescent="0.25">
      <c r="A14" s="89" t="s">
        <v>138</v>
      </c>
      <c r="B14" s="88">
        <v>1</v>
      </c>
      <c r="C14" s="53">
        <v>12</v>
      </c>
      <c r="D14" s="79">
        <v>12</v>
      </c>
    </row>
    <row r="15" spans="1:10" x14ac:dyDescent="0.25">
      <c r="A15" s="89" t="s">
        <v>139</v>
      </c>
      <c r="B15" s="91">
        <v>164</v>
      </c>
      <c r="C15" s="90">
        <v>6</v>
      </c>
      <c r="D15" s="79">
        <v>984</v>
      </c>
      <c r="H15" s="9"/>
      <c r="I15" s="10"/>
      <c r="J15" s="10"/>
    </row>
    <row r="16" spans="1:10" x14ac:dyDescent="0.25">
      <c r="A16" s="12"/>
      <c r="B16" s="13"/>
      <c r="C16" s="15"/>
      <c r="D16" s="6">
        <f>B16*C16</f>
        <v>0</v>
      </c>
      <c r="H16" s="9"/>
      <c r="I16" s="10"/>
      <c r="J16" s="10"/>
    </row>
    <row r="17" spans="1:10" x14ac:dyDescent="0.25">
      <c r="A17" s="12"/>
      <c r="B17" s="13"/>
      <c r="C17" s="16"/>
      <c r="D17" s="6">
        <f>B17*C17</f>
        <v>0</v>
      </c>
      <c r="H17" s="9"/>
      <c r="I17" s="10"/>
      <c r="J17" s="10"/>
    </row>
    <row r="18" spans="1:10" x14ac:dyDescent="0.25">
      <c r="A18" s="142" t="s">
        <v>96</v>
      </c>
      <c r="B18" s="143"/>
      <c r="C18" s="144"/>
      <c r="D18" s="5">
        <f>SUM(D12:D17)</f>
        <v>1976</v>
      </c>
      <c r="H18" s="11"/>
      <c r="I18" s="10"/>
    </row>
    <row r="19" spans="1:10" x14ac:dyDescent="0.25">
      <c r="H19" s="11"/>
      <c r="I19" s="10"/>
    </row>
    <row r="20" spans="1:10" x14ac:dyDescent="0.25">
      <c r="A20" s="24"/>
      <c r="B20" s="10"/>
      <c r="H20" s="11"/>
      <c r="I20" s="10"/>
    </row>
    <row r="21" spans="1:10" x14ac:dyDescent="0.25">
      <c r="H21" s="11"/>
      <c r="I21" s="10"/>
    </row>
  </sheetData>
  <mergeCells count="10">
    <mergeCell ref="B7:D7"/>
    <mergeCell ref="B8:D8"/>
    <mergeCell ref="A10:D10"/>
    <mergeCell ref="A18:C18"/>
    <mergeCell ref="A1:D1"/>
    <mergeCell ref="B2:D2"/>
    <mergeCell ref="B3:D3"/>
    <mergeCell ref="B4:D4"/>
    <mergeCell ref="B5:D5"/>
    <mergeCell ref="B6:D6"/>
  </mergeCells>
  <pageMargins left="0.7" right="0.7" top="0.75" bottom="0.75" header="0.3" footer="0.3"/>
  <pageSetup orientation="portrai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98904-C3AA-4131-BDB1-5B88019BCC94}">
  <dimension ref="A1:J21"/>
  <sheetViews>
    <sheetView topLeftCell="A5" workbookViewId="0">
      <selection activeCell="D19" sqref="D19"/>
    </sheetView>
  </sheetViews>
  <sheetFormatPr defaultRowHeight="15" x14ac:dyDescent="0.25"/>
  <cols>
    <col min="1" max="1" width="23" customWidth="1"/>
    <col min="2" max="2" width="13" customWidth="1"/>
    <col min="3" max="3" width="16.5703125" customWidth="1"/>
    <col min="4" max="4" width="51.5703125" customWidth="1"/>
    <col min="7" max="7" width="9.140625" customWidth="1"/>
    <col min="8" max="8" width="17.42578125" customWidth="1"/>
    <col min="9" max="9" width="16.85546875" customWidth="1"/>
    <col min="10" max="10" width="9.140625" customWidth="1"/>
  </cols>
  <sheetData>
    <row r="1" spans="1:10" ht="15.75" x14ac:dyDescent="0.25">
      <c r="A1" s="150" t="s">
        <v>73</v>
      </c>
      <c r="B1" s="151"/>
      <c r="C1" s="151"/>
      <c r="D1" s="151"/>
    </row>
    <row r="2" spans="1:10" ht="15.75" x14ac:dyDescent="0.25">
      <c r="A2" s="37" t="s">
        <v>74</v>
      </c>
      <c r="B2" s="165" t="s">
        <v>23</v>
      </c>
      <c r="C2" s="166"/>
      <c r="D2" s="167"/>
    </row>
    <row r="3" spans="1:10" ht="15.75" x14ac:dyDescent="0.25">
      <c r="A3" s="37" t="s">
        <v>75</v>
      </c>
      <c r="B3" s="165" t="s">
        <v>46</v>
      </c>
      <c r="C3" s="166"/>
      <c r="D3" s="167"/>
    </row>
    <row r="4" spans="1:10" ht="21.75" customHeight="1" x14ac:dyDescent="0.25">
      <c r="A4" s="33" t="s">
        <v>76</v>
      </c>
      <c r="B4" s="168" t="s">
        <v>142</v>
      </c>
      <c r="C4" s="169"/>
      <c r="D4" s="170"/>
    </row>
    <row r="5" spans="1:10" s="32" customFormat="1" ht="60" x14ac:dyDescent="0.25">
      <c r="A5" s="34" t="s">
        <v>78</v>
      </c>
      <c r="B5" s="171" t="s">
        <v>143</v>
      </c>
      <c r="C5" s="172"/>
      <c r="D5" s="173"/>
    </row>
    <row r="6" spans="1:10" s="32" customFormat="1" ht="120" x14ac:dyDescent="0.25">
      <c r="A6" s="34" t="s">
        <v>80</v>
      </c>
      <c r="B6" s="171" t="s">
        <v>133</v>
      </c>
      <c r="C6" s="172"/>
      <c r="D6" s="173"/>
    </row>
    <row r="7" spans="1:10" s="32" customFormat="1" ht="30" x14ac:dyDescent="0.25">
      <c r="A7" s="34" t="s">
        <v>82</v>
      </c>
      <c r="B7" s="171" t="s">
        <v>134</v>
      </c>
      <c r="C7" s="172"/>
      <c r="D7" s="173"/>
    </row>
    <row r="8" spans="1:10" s="32" customFormat="1" ht="105" x14ac:dyDescent="0.25">
      <c r="A8" s="34" t="s">
        <v>84</v>
      </c>
      <c r="B8" s="174"/>
      <c r="C8" s="175"/>
      <c r="D8" s="176"/>
    </row>
    <row r="9" spans="1:10" x14ac:dyDescent="0.25">
      <c r="A9" s="3"/>
      <c r="B9" s="2"/>
      <c r="C9" s="2"/>
      <c r="D9" s="2"/>
    </row>
    <row r="10" spans="1:10" x14ac:dyDescent="0.25">
      <c r="A10" s="148" t="s">
        <v>85</v>
      </c>
      <c r="B10" s="149"/>
      <c r="C10" s="149"/>
      <c r="D10" s="149"/>
    </row>
    <row r="11" spans="1:10" x14ac:dyDescent="0.25">
      <c r="A11" s="27" t="s">
        <v>86</v>
      </c>
      <c r="B11" s="28" t="s">
        <v>87</v>
      </c>
      <c r="C11" s="28" t="s">
        <v>88</v>
      </c>
      <c r="D11" s="30" t="s">
        <v>89</v>
      </c>
    </row>
    <row r="12" spans="1:10" x14ac:dyDescent="0.25">
      <c r="A12" s="50" t="s">
        <v>136</v>
      </c>
      <c r="B12" s="87">
        <v>150</v>
      </c>
      <c r="C12" s="51">
        <v>8</v>
      </c>
      <c r="D12" s="79">
        <v>1200</v>
      </c>
    </row>
    <row r="13" spans="1:10" x14ac:dyDescent="0.25">
      <c r="A13" s="52" t="s">
        <v>137</v>
      </c>
      <c r="B13" s="88">
        <v>16</v>
      </c>
      <c r="C13" s="53">
        <v>6</v>
      </c>
      <c r="D13" s="79">
        <v>96</v>
      </c>
    </row>
    <row r="14" spans="1:10" x14ac:dyDescent="0.25">
      <c r="A14" s="89" t="s">
        <v>138</v>
      </c>
      <c r="B14" s="88">
        <v>1</v>
      </c>
      <c r="C14" s="53">
        <v>16</v>
      </c>
      <c r="D14" s="79">
        <v>16</v>
      </c>
    </row>
    <row r="15" spans="1:10" x14ac:dyDescent="0.25">
      <c r="A15" s="89" t="s">
        <v>139</v>
      </c>
      <c r="B15" s="91">
        <v>164</v>
      </c>
      <c r="C15" s="90">
        <v>8</v>
      </c>
      <c r="D15" s="79">
        <f>B15*C15</f>
        <v>1312</v>
      </c>
      <c r="H15" s="9"/>
      <c r="I15" s="10"/>
      <c r="J15" s="10"/>
    </row>
    <row r="16" spans="1:10" x14ac:dyDescent="0.25">
      <c r="A16" s="12"/>
      <c r="B16" s="13"/>
      <c r="C16" s="15"/>
      <c r="D16" s="6">
        <f>B16*C16</f>
        <v>0</v>
      </c>
      <c r="H16" s="9"/>
      <c r="I16" s="10"/>
      <c r="J16" s="10"/>
    </row>
    <row r="17" spans="1:10" x14ac:dyDescent="0.25">
      <c r="A17" s="12"/>
      <c r="B17" s="13"/>
      <c r="C17" s="16"/>
      <c r="D17" s="6">
        <f>B17*C17</f>
        <v>0</v>
      </c>
      <c r="H17" s="9"/>
      <c r="I17" s="10"/>
      <c r="J17" s="10"/>
    </row>
    <row r="18" spans="1:10" x14ac:dyDescent="0.25">
      <c r="A18" s="142" t="s">
        <v>96</v>
      </c>
      <c r="B18" s="143"/>
      <c r="C18" s="144"/>
      <c r="D18" s="106">
        <f>SUM(D12:D17)</f>
        <v>2624</v>
      </c>
      <c r="H18" s="11"/>
      <c r="I18" s="10"/>
    </row>
    <row r="19" spans="1:10" x14ac:dyDescent="0.25">
      <c r="H19" s="11"/>
      <c r="I19" s="10"/>
    </row>
    <row r="20" spans="1:10" x14ac:dyDescent="0.25">
      <c r="A20" s="24"/>
      <c r="B20" s="10"/>
      <c r="H20" s="11"/>
      <c r="I20" s="10"/>
    </row>
    <row r="21" spans="1:10" x14ac:dyDescent="0.25">
      <c r="H21" s="11"/>
      <c r="I21" s="10"/>
    </row>
  </sheetData>
  <mergeCells count="10">
    <mergeCell ref="B7:D7"/>
    <mergeCell ref="B8:D8"/>
    <mergeCell ref="A10:D10"/>
    <mergeCell ref="A18:C18"/>
    <mergeCell ref="A1:D1"/>
    <mergeCell ref="B2:D2"/>
    <mergeCell ref="B3:D3"/>
    <mergeCell ref="B4:D4"/>
    <mergeCell ref="B5:D5"/>
    <mergeCell ref="B6:D6"/>
  </mergeCells>
  <pageMargins left="0.7" right="0.7" top="0.75" bottom="0.75" header="0.3" footer="0.3"/>
  <pageSetup orientation="portrait"/>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6E6E4-C02E-4ED1-9099-0B95B0E00803}">
  <dimension ref="A1:J21"/>
  <sheetViews>
    <sheetView topLeftCell="A5" workbookViewId="0">
      <selection activeCell="B6" sqref="B6"/>
    </sheetView>
  </sheetViews>
  <sheetFormatPr defaultRowHeight="15" x14ac:dyDescent="0.25"/>
  <cols>
    <col min="1" max="1" width="23" customWidth="1"/>
    <col min="2" max="2" width="13" customWidth="1"/>
    <col min="3" max="3" width="16.5703125" customWidth="1"/>
    <col min="4" max="4" width="71.140625" customWidth="1"/>
    <col min="7" max="7" width="9.140625" customWidth="1"/>
    <col min="8" max="8" width="17.42578125" customWidth="1"/>
    <col min="9" max="9" width="16.85546875" customWidth="1"/>
    <col min="10" max="10" width="9.140625" customWidth="1"/>
  </cols>
  <sheetData>
    <row r="1" spans="1:10" ht="15.75" x14ac:dyDescent="0.25">
      <c r="A1" s="150" t="s">
        <v>73</v>
      </c>
      <c r="B1" s="151"/>
      <c r="C1" s="151"/>
      <c r="D1" s="151"/>
    </row>
    <row r="2" spans="1:10" ht="15.75" x14ac:dyDescent="0.25">
      <c r="A2" s="37" t="s">
        <v>74</v>
      </c>
      <c r="B2" s="165" t="s">
        <v>23</v>
      </c>
      <c r="C2" s="166"/>
      <c r="D2" s="167"/>
    </row>
    <row r="3" spans="1:10" ht="15.75" x14ac:dyDescent="0.25">
      <c r="A3" s="37" t="s">
        <v>75</v>
      </c>
      <c r="B3" s="165" t="s">
        <v>52</v>
      </c>
      <c r="C3" s="166"/>
      <c r="D3" s="167"/>
    </row>
    <row r="4" spans="1:10" ht="21.75" customHeight="1" x14ac:dyDescent="0.25">
      <c r="A4" s="33" t="s">
        <v>76</v>
      </c>
      <c r="B4" s="168" t="s">
        <v>144</v>
      </c>
      <c r="C4" s="169"/>
      <c r="D4" s="170"/>
    </row>
    <row r="5" spans="1:10" s="32" customFormat="1" ht="115.5" customHeight="1" x14ac:dyDescent="0.25">
      <c r="A5" s="34" t="s">
        <v>78</v>
      </c>
      <c r="B5" s="171" t="s">
        <v>145</v>
      </c>
      <c r="C5" s="172"/>
      <c r="D5" s="173"/>
    </row>
    <row r="6" spans="1:10" s="32" customFormat="1" ht="120" x14ac:dyDescent="0.25">
      <c r="A6" s="34" t="s">
        <v>80</v>
      </c>
      <c r="B6" s="171" t="s">
        <v>146</v>
      </c>
      <c r="C6" s="172"/>
      <c r="D6" s="173"/>
    </row>
    <row r="7" spans="1:10" s="32" customFormat="1" ht="30" x14ac:dyDescent="0.25">
      <c r="A7" s="34" t="s">
        <v>82</v>
      </c>
      <c r="B7" s="171" t="s">
        <v>147</v>
      </c>
      <c r="C7" s="172"/>
      <c r="D7" s="173"/>
    </row>
    <row r="8" spans="1:10" s="32" customFormat="1" ht="105" x14ac:dyDescent="0.25">
      <c r="A8" s="34" t="s">
        <v>84</v>
      </c>
      <c r="B8" s="174"/>
      <c r="C8" s="175"/>
      <c r="D8" s="176"/>
    </row>
    <row r="9" spans="1:10" x14ac:dyDescent="0.25">
      <c r="A9" s="3"/>
      <c r="B9" s="2"/>
      <c r="C9" s="2"/>
      <c r="D9" s="2"/>
    </row>
    <row r="10" spans="1:10" x14ac:dyDescent="0.25">
      <c r="A10" s="148" t="s">
        <v>85</v>
      </c>
      <c r="B10" s="149"/>
      <c r="C10" s="149"/>
      <c r="D10" s="149"/>
    </row>
    <row r="11" spans="1:10" x14ac:dyDescent="0.25">
      <c r="A11" s="27" t="s">
        <v>86</v>
      </c>
      <c r="B11" s="28" t="s">
        <v>87</v>
      </c>
      <c r="C11" s="28" t="s">
        <v>88</v>
      </c>
      <c r="D11" s="30" t="s">
        <v>89</v>
      </c>
    </row>
    <row r="12" spans="1:10" x14ac:dyDescent="0.25">
      <c r="A12" s="50" t="s">
        <v>148</v>
      </c>
      <c r="B12" s="86">
        <v>2500</v>
      </c>
      <c r="C12" s="51">
        <v>108</v>
      </c>
      <c r="D12" s="79">
        <v>270000</v>
      </c>
    </row>
    <row r="13" spans="1:10" x14ac:dyDescent="0.25">
      <c r="A13" s="31"/>
      <c r="B13" s="29"/>
      <c r="C13" s="29"/>
      <c r="D13" s="6">
        <f t="shared" ref="D13:D14" si="0">B13*C13</f>
        <v>0</v>
      </c>
    </row>
    <row r="14" spans="1:10" x14ac:dyDescent="0.25">
      <c r="A14" s="31"/>
      <c r="B14" s="29"/>
      <c r="C14" s="29"/>
      <c r="D14" s="6">
        <f t="shared" si="0"/>
        <v>0</v>
      </c>
    </row>
    <row r="15" spans="1:10" x14ac:dyDescent="0.25">
      <c r="A15" s="12"/>
      <c r="B15" s="13"/>
      <c r="C15" s="14"/>
      <c r="D15" s="6">
        <f>B15*C15</f>
        <v>0</v>
      </c>
      <c r="H15" s="9"/>
      <c r="I15" s="10"/>
      <c r="J15" s="10"/>
    </row>
    <row r="16" spans="1:10" x14ac:dyDescent="0.25">
      <c r="A16" s="12"/>
      <c r="B16" s="13"/>
      <c r="C16" s="15"/>
      <c r="D16" s="6">
        <f>B16*C16</f>
        <v>0</v>
      </c>
      <c r="H16" s="9"/>
      <c r="I16" s="10"/>
      <c r="J16" s="10"/>
    </row>
    <row r="17" spans="1:10" x14ac:dyDescent="0.25">
      <c r="A17" s="12"/>
      <c r="B17" s="13"/>
      <c r="C17" s="16"/>
      <c r="D17" s="6">
        <f>B17*C17</f>
        <v>0</v>
      </c>
      <c r="H17" s="9"/>
      <c r="I17" s="10"/>
      <c r="J17" s="10"/>
    </row>
    <row r="18" spans="1:10" x14ac:dyDescent="0.25">
      <c r="A18" s="142" t="s">
        <v>96</v>
      </c>
      <c r="B18" s="143"/>
      <c r="C18" s="144"/>
      <c r="D18" s="5">
        <f>SUM(D12:D17)</f>
        <v>270000</v>
      </c>
      <c r="H18" s="11"/>
      <c r="I18" s="10"/>
    </row>
    <row r="19" spans="1:10" x14ac:dyDescent="0.25">
      <c r="H19" s="11"/>
      <c r="I19" s="10"/>
    </row>
    <row r="20" spans="1:10" x14ac:dyDescent="0.25">
      <c r="A20" s="24"/>
      <c r="B20" s="10"/>
      <c r="H20" s="11"/>
      <c r="I20" s="10"/>
    </row>
    <row r="21" spans="1:10" x14ac:dyDescent="0.25">
      <c r="H21" s="11"/>
      <c r="I21" s="10"/>
    </row>
  </sheetData>
  <mergeCells count="10">
    <mergeCell ref="B7:D7"/>
    <mergeCell ref="B8:D8"/>
    <mergeCell ref="A10:D10"/>
    <mergeCell ref="A18:C18"/>
    <mergeCell ref="A1:D1"/>
    <mergeCell ref="B2:D2"/>
    <mergeCell ref="B3:D3"/>
    <mergeCell ref="B4:D4"/>
    <mergeCell ref="B5:D5"/>
    <mergeCell ref="B6:D6"/>
  </mergeCells>
  <pageMargins left="0.7" right="0.7" top="0.75" bottom="0.75" header="0.3" footer="0.3"/>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DF234-A5BF-4986-AE48-00293690923B}">
  <dimension ref="A1:J21"/>
  <sheetViews>
    <sheetView topLeftCell="A5" workbookViewId="0">
      <selection activeCell="B5" sqref="B5:D5"/>
    </sheetView>
  </sheetViews>
  <sheetFormatPr defaultRowHeight="15" x14ac:dyDescent="0.25"/>
  <cols>
    <col min="1" max="1" width="23" customWidth="1"/>
    <col min="2" max="2" width="13" customWidth="1"/>
    <col min="3" max="3" width="16.5703125" customWidth="1"/>
    <col min="4" max="4" width="51.5703125" customWidth="1"/>
    <col min="7" max="7" width="9.140625" customWidth="1"/>
    <col min="8" max="8" width="17.42578125" customWidth="1"/>
    <col min="9" max="9" width="16.85546875" customWidth="1"/>
    <col min="10" max="10" width="9.140625" customWidth="1"/>
  </cols>
  <sheetData>
    <row r="1" spans="1:10" ht="15.75" x14ac:dyDescent="0.25">
      <c r="A1" s="150" t="s">
        <v>73</v>
      </c>
      <c r="B1" s="151"/>
      <c r="C1" s="151"/>
      <c r="D1" s="151"/>
    </row>
    <row r="2" spans="1:10" ht="15.75" x14ac:dyDescent="0.25">
      <c r="A2" s="37" t="s">
        <v>74</v>
      </c>
      <c r="B2" s="165" t="s">
        <v>23</v>
      </c>
      <c r="C2" s="166"/>
      <c r="D2" s="167"/>
    </row>
    <row r="3" spans="1:10" ht="15.75" x14ac:dyDescent="0.25">
      <c r="A3" s="37" t="s">
        <v>75</v>
      </c>
      <c r="B3" s="165" t="s">
        <v>52</v>
      </c>
      <c r="C3" s="166"/>
      <c r="D3" s="167"/>
    </row>
    <row r="4" spans="1:10" ht="21.75" customHeight="1" x14ac:dyDescent="0.25">
      <c r="A4" s="33" t="s">
        <v>76</v>
      </c>
      <c r="B4" s="168" t="s">
        <v>149</v>
      </c>
      <c r="C4" s="169"/>
      <c r="D4" s="170"/>
    </row>
    <row r="5" spans="1:10" s="32" customFormat="1" ht="96.75" customHeight="1" x14ac:dyDescent="0.25">
      <c r="A5" s="34" t="s">
        <v>78</v>
      </c>
      <c r="B5" s="171" t="s">
        <v>150</v>
      </c>
      <c r="C5" s="172"/>
      <c r="D5" s="173"/>
    </row>
    <row r="6" spans="1:10" s="32" customFormat="1" ht="120" x14ac:dyDescent="0.25">
      <c r="A6" s="34" t="s">
        <v>80</v>
      </c>
      <c r="B6" s="171" t="s">
        <v>151</v>
      </c>
      <c r="C6" s="172"/>
      <c r="D6" s="173"/>
    </row>
    <row r="7" spans="1:10" s="32" customFormat="1" ht="30" x14ac:dyDescent="0.25">
      <c r="A7" s="34" t="s">
        <v>82</v>
      </c>
      <c r="B7" s="171" t="s">
        <v>152</v>
      </c>
      <c r="C7" s="172"/>
      <c r="D7" s="173"/>
    </row>
    <row r="8" spans="1:10" s="32" customFormat="1" ht="105" x14ac:dyDescent="0.25">
      <c r="A8" s="34" t="s">
        <v>84</v>
      </c>
      <c r="B8" s="171" t="s">
        <v>153</v>
      </c>
      <c r="C8" s="172"/>
      <c r="D8" s="173"/>
    </row>
    <row r="9" spans="1:10" x14ac:dyDescent="0.25">
      <c r="A9" s="3"/>
      <c r="B9" s="2"/>
      <c r="C9" s="2"/>
      <c r="D9" s="2"/>
    </row>
    <row r="10" spans="1:10" x14ac:dyDescent="0.25">
      <c r="A10" s="148" t="s">
        <v>85</v>
      </c>
      <c r="B10" s="149"/>
      <c r="C10" s="149"/>
      <c r="D10" s="149"/>
    </row>
    <row r="11" spans="1:10" x14ac:dyDescent="0.25">
      <c r="A11" s="27" t="s">
        <v>86</v>
      </c>
      <c r="B11" s="28" t="s">
        <v>87</v>
      </c>
      <c r="C11" s="28" t="s">
        <v>88</v>
      </c>
      <c r="D11" s="30" t="s">
        <v>89</v>
      </c>
    </row>
    <row r="12" spans="1:10" x14ac:dyDescent="0.25">
      <c r="A12" s="50" t="s">
        <v>154</v>
      </c>
      <c r="B12" s="51">
        <v>425</v>
      </c>
      <c r="C12" s="51">
        <v>210</v>
      </c>
      <c r="D12" s="79">
        <v>89250</v>
      </c>
    </row>
    <row r="13" spans="1:10" x14ac:dyDescent="0.25">
      <c r="A13" s="52" t="s">
        <v>155</v>
      </c>
      <c r="B13" s="53">
        <v>425</v>
      </c>
      <c r="C13" s="53">
        <v>495</v>
      </c>
      <c r="D13" s="79">
        <v>210375</v>
      </c>
    </row>
    <row r="14" spans="1:10" x14ac:dyDescent="0.25">
      <c r="A14" s="52" t="s">
        <v>156</v>
      </c>
      <c r="B14" s="53">
        <v>3000</v>
      </c>
      <c r="C14" s="53">
        <v>2</v>
      </c>
      <c r="D14" s="79">
        <v>6000</v>
      </c>
    </row>
    <row r="15" spans="1:10" x14ac:dyDescent="0.25">
      <c r="A15" s="12"/>
      <c r="B15" s="13"/>
      <c r="C15" s="14"/>
      <c r="D15" s="6">
        <f>B15*C15</f>
        <v>0</v>
      </c>
      <c r="H15" s="9"/>
      <c r="I15" s="10"/>
      <c r="J15" s="10"/>
    </row>
    <row r="16" spans="1:10" x14ac:dyDescent="0.25">
      <c r="A16" s="12"/>
      <c r="B16" s="13"/>
      <c r="C16" s="15"/>
      <c r="D16" s="6">
        <f>B16*C16</f>
        <v>0</v>
      </c>
      <c r="H16" s="9"/>
      <c r="I16" s="10"/>
      <c r="J16" s="10"/>
    </row>
    <row r="17" spans="1:10" x14ac:dyDescent="0.25">
      <c r="A17" s="12"/>
      <c r="B17" s="13"/>
      <c r="C17" s="16"/>
      <c r="D17" s="6">
        <f>B17*C17</f>
        <v>0</v>
      </c>
      <c r="H17" s="9"/>
      <c r="I17" s="10"/>
      <c r="J17" s="10"/>
    </row>
    <row r="18" spans="1:10" x14ac:dyDescent="0.25">
      <c r="A18" s="142" t="s">
        <v>96</v>
      </c>
      <c r="B18" s="143"/>
      <c r="C18" s="144"/>
      <c r="D18" s="5">
        <f>SUM(D12:D17)</f>
        <v>305625</v>
      </c>
      <c r="H18" s="11"/>
      <c r="I18" s="10"/>
    </row>
    <row r="19" spans="1:10" x14ac:dyDescent="0.25">
      <c r="H19" s="11"/>
      <c r="I19" s="10"/>
    </row>
    <row r="20" spans="1:10" x14ac:dyDescent="0.25">
      <c r="A20" s="24"/>
      <c r="B20" s="10"/>
      <c r="H20" s="11"/>
      <c r="I20" s="10"/>
    </row>
    <row r="21" spans="1:10" x14ac:dyDescent="0.25">
      <c r="H21" s="11"/>
      <c r="I21" s="10"/>
    </row>
  </sheetData>
  <mergeCells count="10">
    <mergeCell ref="B7:D7"/>
    <mergeCell ref="B8:D8"/>
    <mergeCell ref="A10:D10"/>
    <mergeCell ref="A18:C18"/>
    <mergeCell ref="A1:D1"/>
    <mergeCell ref="B2:D2"/>
    <mergeCell ref="B3:D3"/>
    <mergeCell ref="B4:D4"/>
    <mergeCell ref="B5:D5"/>
    <mergeCell ref="B6:D6"/>
  </mergeCells>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145E3-C0FA-48C4-946F-E489CE89E5EE}">
  <dimension ref="A1:J21"/>
  <sheetViews>
    <sheetView topLeftCell="A6" workbookViewId="0">
      <selection activeCell="B5" sqref="B5:D5"/>
    </sheetView>
  </sheetViews>
  <sheetFormatPr defaultRowHeight="15" x14ac:dyDescent="0.25"/>
  <cols>
    <col min="1" max="1" width="23" customWidth="1"/>
    <col min="2" max="2" width="13" customWidth="1"/>
    <col min="3" max="3" width="16.5703125" customWidth="1"/>
    <col min="4" max="4" width="51.5703125" customWidth="1"/>
    <col min="7" max="7" width="9.140625" customWidth="1"/>
    <col min="8" max="8" width="17.42578125" customWidth="1"/>
    <col min="9" max="9" width="16.85546875" customWidth="1"/>
    <col min="10" max="10" width="9.140625" customWidth="1"/>
  </cols>
  <sheetData>
    <row r="1" spans="1:10" ht="15.75" x14ac:dyDescent="0.25">
      <c r="A1" s="150" t="s">
        <v>73</v>
      </c>
      <c r="B1" s="151"/>
      <c r="C1" s="151"/>
      <c r="D1" s="151"/>
    </row>
    <row r="2" spans="1:10" ht="15.75" x14ac:dyDescent="0.25">
      <c r="A2" s="37" t="s">
        <v>74</v>
      </c>
      <c r="B2" s="165" t="s">
        <v>23</v>
      </c>
      <c r="C2" s="166"/>
      <c r="D2" s="167"/>
    </row>
    <row r="3" spans="1:10" ht="15.75" x14ac:dyDescent="0.25">
      <c r="A3" s="37" t="s">
        <v>75</v>
      </c>
      <c r="B3" s="165" t="s">
        <v>52</v>
      </c>
      <c r="C3" s="166"/>
      <c r="D3" s="167"/>
    </row>
    <row r="4" spans="1:10" ht="21.75" customHeight="1" x14ac:dyDescent="0.25">
      <c r="A4" s="33" t="s">
        <v>76</v>
      </c>
      <c r="B4" s="168" t="s">
        <v>157</v>
      </c>
      <c r="C4" s="169"/>
      <c r="D4" s="170"/>
    </row>
    <row r="5" spans="1:10" s="32" customFormat="1" ht="200.25" customHeight="1" x14ac:dyDescent="0.25">
      <c r="A5" s="34" t="s">
        <v>78</v>
      </c>
      <c r="B5" s="171" t="s">
        <v>158</v>
      </c>
      <c r="C5" s="172"/>
      <c r="D5" s="173"/>
    </row>
    <row r="6" spans="1:10" s="32" customFormat="1" ht="120" x14ac:dyDescent="0.25">
      <c r="A6" s="34" t="s">
        <v>80</v>
      </c>
      <c r="B6" s="171" t="s">
        <v>146</v>
      </c>
      <c r="C6" s="172"/>
      <c r="D6" s="173"/>
    </row>
    <row r="7" spans="1:10" s="32" customFormat="1" ht="30" x14ac:dyDescent="0.25">
      <c r="A7" s="34" t="s">
        <v>82</v>
      </c>
      <c r="B7" s="171" t="s">
        <v>147</v>
      </c>
      <c r="C7" s="172"/>
      <c r="D7" s="173"/>
    </row>
    <row r="8" spans="1:10" s="32" customFormat="1" ht="105" x14ac:dyDescent="0.25">
      <c r="A8" s="34" t="s">
        <v>84</v>
      </c>
      <c r="B8" s="174"/>
      <c r="C8" s="175"/>
      <c r="D8" s="176"/>
    </row>
    <row r="9" spans="1:10" x14ac:dyDescent="0.25">
      <c r="A9" s="3"/>
      <c r="B9" s="2"/>
      <c r="C9" s="2"/>
      <c r="D9" s="2"/>
    </row>
    <row r="10" spans="1:10" x14ac:dyDescent="0.25">
      <c r="A10" s="148" t="s">
        <v>85</v>
      </c>
      <c r="B10" s="149"/>
      <c r="C10" s="149"/>
      <c r="D10" s="149"/>
    </row>
    <row r="11" spans="1:10" x14ac:dyDescent="0.25">
      <c r="A11" s="27" t="s">
        <v>86</v>
      </c>
      <c r="B11" s="28" t="s">
        <v>87</v>
      </c>
      <c r="C11" s="28" t="s">
        <v>88</v>
      </c>
      <c r="D11" s="30" t="s">
        <v>89</v>
      </c>
    </row>
    <row r="12" spans="1:10" x14ac:dyDescent="0.25">
      <c r="A12" s="50" t="s">
        <v>148</v>
      </c>
      <c r="B12" s="86">
        <v>4063</v>
      </c>
      <c r="C12" s="51">
        <v>4</v>
      </c>
      <c r="D12" s="79">
        <v>16252</v>
      </c>
    </row>
    <row r="13" spans="1:10" x14ac:dyDescent="0.25">
      <c r="A13" s="31"/>
      <c r="B13" s="29"/>
      <c r="C13" s="29"/>
      <c r="D13" s="6">
        <f t="shared" ref="D13:D14" si="0">B13*C13</f>
        <v>0</v>
      </c>
    </row>
    <row r="14" spans="1:10" x14ac:dyDescent="0.25">
      <c r="A14" s="31"/>
      <c r="B14" s="29"/>
      <c r="C14" s="29"/>
      <c r="D14" s="6">
        <f t="shared" si="0"/>
        <v>0</v>
      </c>
    </row>
    <row r="15" spans="1:10" x14ac:dyDescent="0.25">
      <c r="A15" s="12"/>
      <c r="B15" s="13"/>
      <c r="C15" s="14"/>
      <c r="D15" s="6">
        <f>B15*C15</f>
        <v>0</v>
      </c>
      <c r="H15" s="9"/>
      <c r="I15" s="10"/>
      <c r="J15" s="10"/>
    </row>
    <row r="16" spans="1:10" x14ac:dyDescent="0.25">
      <c r="A16" s="12"/>
      <c r="B16" s="13"/>
      <c r="C16" s="15"/>
      <c r="D16" s="6">
        <f>B16*C16</f>
        <v>0</v>
      </c>
      <c r="H16" s="9"/>
      <c r="I16" s="10"/>
      <c r="J16" s="10"/>
    </row>
    <row r="17" spans="1:10" x14ac:dyDescent="0.25">
      <c r="A17" s="12"/>
      <c r="B17" s="13"/>
      <c r="C17" s="16"/>
      <c r="D17" s="6">
        <f>B17*C17</f>
        <v>0</v>
      </c>
      <c r="H17" s="9"/>
      <c r="I17" s="10"/>
      <c r="J17" s="10"/>
    </row>
    <row r="18" spans="1:10" x14ac:dyDescent="0.25">
      <c r="A18" s="142" t="s">
        <v>96</v>
      </c>
      <c r="B18" s="143"/>
      <c r="C18" s="144"/>
      <c r="D18" s="5">
        <f>SUM(D12:D17)</f>
        <v>16252</v>
      </c>
      <c r="H18" s="11"/>
      <c r="I18" s="10"/>
    </row>
    <row r="19" spans="1:10" x14ac:dyDescent="0.25">
      <c r="H19" s="11"/>
      <c r="I19" s="10"/>
    </row>
    <row r="20" spans="1:10" x14ac:dyDescent="0.25">
      <c r="A20" s="24"/>
      <c r="B20" s="10"/>
      <c r="H20" s="11"/>
      <c r="I20" s="10"/>
    </row>
    <row r="21" spans="1:10" x14ac:dyDescent="0.25">
      <c r="H21" s="11"/>
      <c r="I21" s="10"/>
    </row>
  </sheetData>
  <mergeCells count="10">
    <mergeCell ref="B7:D7"/>
    <mergeCell ref="B8:D8"/>
    <mergeCell ref="A10:D10"/>
    <mergeCell ref="A18:C18"/>
    <mergeCell ref="A1:D1"/>
    <mergeCell ref="B2:D2"/>
    <mergeCell ref="B3:D3"/>
    <mergeCell ref="B4:D4"/>
    <mergeCell ref="B5:D5"/>
    <mergeCell ref="B6:D6"/>
  </mergeCells>
  <pageMargins left="0.7" right="0.7" top="0.75" bottom="0.75" header="0.3" footer="0.3"/>
  <pageSetup orientation="portrai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4B531-BDF7-40B3-B51A-7DD9105332C7}">
  <dimension ref="A1:J21"/>
  <sheetViews>
    <sheetView topLeftCell="A5" workbookViewId="0">
      <selection activeCell="D13" sqref="D13"/>
    </sheetView>
  </sheetViews>
  <sheetFormatPr defaultRowHeight="15" x14ac:dyDescent="0.25"/>
  <cols>
    <col min="1" max="1" width="23" customWidth="1"/>
    <col min="2" max="2" width="13" customWidth="1"/>
    <col min="3" max="3" width="16.5703125" customWidth="1"/>
    <col min="4" max="4" width="51.5703125" customWidth="1"/>
    <col min="7" max="7" width="9.140625" customWidth="1"/>
    <col min="8" max="8" width="17.42578125" customWidth="1"/>
    <col min="9" max="9" width="16.85546875" customWidth="1"/>
    <col min="10" max="10" width="9.140625" customWidth="1"/>
  </cols>
  <sheetData>
    <row r="1" spans="1:10" ht="15.75" x14ac:dyDescent="0.25">
      <c r="A1" s="150" t="s">
        <v>73</v>
      </c>
      <c r="B1" s="151"/>
      <c r="C1" s="151"/>
      <c r="D1" s="151"/>
    </row>
    <row r="2" spans="1:10" ht="15.75" x14ac:dyDescent="0.25">
      <c r="A2" s="37" t="s">
        <v>74</v>
      </c>
      <c r="B2" s="165" t="s">
        <v>23</v>
      </c>
      <c r="C2" s="166"/>
      <c r="D2" s="167"/>
    </row>
    <row r="3" spans="1:10" ht="15.75" x14ac:dyDescent="0.25">
      <c r="A3" s="37" t="s">
        <v>75</v>
      </c>
      <c r="B3" s="165" t="s">
        <v>52</v>
      </c>
      <c r="C3" s="166"/>
      <c r="D3" s="167"/>
    </row>
    <row r="4" spans="1:10" ht="21.75" customHeight="1" x14ac:dyDescent="0.25">
      <c r="A4" s="33" t="s">
        <v>76</v>
      </c>
      <c r="B4" s="168" t="s">
        <v>57</v>
      </c>
      <c r="C4" s="169"/>
      <c r="D4" s="170"/>
    </row>
    <row r="5" spans="1:10" s="32" customFormat="1" ht="98.25" customHeight="1" x14ac:dyDescent="0.25">
      <c r="A5" s="34" t="s">
        <v>78</v>
      </c>
      <c r="B5" s="171" t="s">
        <v>159</v>
      </c>
      <c r="C5" s="172"/>
      <c r="D5" s="173"/>
    </row>
    <row r="6" spans="1:10" s="32" customFormat="1" ht="120" x14ac:dyDescent="0.25">
      <c r="A6" s="34" t="s">
        <v>80</v>
      </c>
      <c r="B6" s="171" t="s">
        <v>160</v>
      </c>
      <c r="C6" s="172"/>
      <c r="D6" s="173"/>
    </row>
    <row r="7" spans="1:10" s="32" customFormat="1" ht="30" x14ac:dyDescent="0.25">
      <c r="A7" s="34" t="s">
        <v>82</v>
      </c>
      <c r="B7" s="171" t="s">
        <v>161</v>
      </c>
      <c r="C7" s="172"/>
      <c r="D7" s="173"/>
    </row>
    <row r="8" spans="1:10" s="32" customFormat="1" ht="105" x14ac:dyDescent="0.25">
      <c r="A8" s="34" t="s">
        <v>84</v>
      </c>
      <c r="B8" s="174"/>
      <c r="C8" s="175"/>
      <c r="D8" s="176"/>
    </row>
    <row r="9" spans="1:10" x14ac:dyDescent="0.25">
      <c r="A9" s="3"/>
      <c r="B9" s="2"/>
      <c r="C9" s="2"/>
      <c r="D9" s="2"/>
    </row>
    <row r="10" spans="1:10" x14ac:dyDescent="0.25">
      <c r="A10" s="148" t="s">
        <v>85</v>
      </c>
      <c r="B10" s="149"/>
      <c r="C10" s="149"/>
      <c r="D10" s="149"/>
    </row>
    <row r="11" spans="1:10" x14ac:dyDescent="0.25">
      <c r="A11" s="27" t="s">
        <v>86</v>
      </c>
      <c r="B11" s="28" t="s">
        <v>87</v>
      </c>
      <c r="C11" s="28" t="s">
        <v>88</v>
      </c>
      <c r="D11" s="30" t="s">
        <v>89</v>
      </c>
    </row>
    <row r="12" spans="1:10" x14ac:dyDescent="0.25">
      <c r="A12" s="50" t="s">
        <v>162</v>
      </c>
      <c r="B12" s="51">
        <v>400</v>
      </c>
      <c r="C12" s="51">
        <v>168</v>
      </c>
      <c r="D12" s="79">
        <v>67200</v>
      </c>
    </row>
    <row r="13" spans="1:10" x14ac:dyDescent="0.25">
      <c r="A13" s="52" t="s">
        <v>163</v>
      </c>
      <c r="B13" s="53">
        <v>400</v>
      </c>
      <c r="C13" s="53">
        <v>126</v>
      </c>
      <c r="D13" s="79">
        <v>50400</v>
      </c>
    </row>
    <row r="14" spans="1:10" x14ac:dyDescent="0.25">
      <c r="A14" s="52" t="s">
        <v>164</v>
      </c>
      <c r="B14" s="53">
        <v>5000</v>
      </c>
      <c r="C14" s="53">
        <v>2</v>
      </c>
      <c r="D14" s="79">
        <v>10000</v>
      </c>
    </row>
    <row r="15" spans="1:10" x14ac:dyDescent="0.25">
      <c r="A15" s="124" t="s">
        <v>130</v>
      </c>
      <c r="B15" s="13">
        <v>5000</v>
      </c>
      <c r="C15" s="14">
        <v>3</v>
      </c>
      <c r="D15" s="6">
        <f>B15*C15</f>
        <v>15000</v>
      </c>
      <c r="H15" s="9"/>
      <c r="I15" s="10"/>
      <c r="J15" s="10"/>
    </row>
    <row r="16" spans="1:10" x14ac:dyDescent="0.25">
      <c r="A16" s="12"/>
      <c r="B16" s="13"/>
      <c r="C16" s="15"/>
      <c r="D16" s="6">
        <f>B16*C16</f>
        <v>0</v>
      </c>
      <c r="H16" s="9"/>
      <c r="I16" s="10"/>
      <c r="J16" s="10"/>
    </row>
    <row r="17" spans="1:10" x14ac:dyDescent="0.25">
      <c r="A17" s="12"/>
      <c r="B17" s="13"/>
      <c r="C17" s="16"/>
      <c r="D17" s="6">
        <f>B17*C17</f>
        <v>0</v>
      </c>
      <c r="H17" s="9"/>
      <c r="I17" s="10"/>
      <c r="J17" s="10"/>
    </row>
    <row r="18" spans="1:10" x14ac:dyDescent="0.25">
      <c r="A18" s="142" t="s">
        <v>96</v>
      </c>
      <c r="B18" s="143"/>
      <c r="C18" s="144"/>
      <c r="D18" s="106">
        <f>SUM(D12:D17)</f>
        <v>142600</v>
      </c>
      <c r="H18" s="11"/>
      <c r="I18" s="10"/>
    </row>
    <row r="19" spans="1:10" x14ac:dyDescent="0.25">
      <c r="H19" s="11"/>
      <c r="I19" s="10"/>
    </row>
    <row r="20" spans="1:10" x14ac:dyDescent="0.25">
      <c r="A20" s="24"/>
      <c r="B20" s="10"/>
      <c r="H20" s="11"/>
      <c r="I20" s="10"/>
    </row>
    <row r="21" spans="1:10" x14ac:dyDescent="0.25">
      <c r="H21" s="11"/>
      <c r="I21" s="10"/>
    </row>
  </sheetData>
  <mergeCells count="10">
    <mergeCell ref="B7:D7"/>
    <mergeCell ref="B8:D8"/>
    <mergeCell ref="A10:D10"/>
    <mergeCell ref="A18:C18"/>
    <mergeCell ref="A1:D1"/>
    <mergeCell ref="B2:D2"/>
    <mergeCell ref="B3:D3"/>
    <mergeCell ref="B4:D4"/>
    <mergeCell ref="B5:D5"/>
    <mergeCell ref="B6:D6"/>
  </mergeCells>
  <pageMargins left="0.7" right="0.7" top="0.75" bottom="0.75" header="0.3" footer="0.3"/>
  <pageSetup orientation="portrait"/>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3B443-79BE-4422-8531-5A5B6318E818}">
  <dimension ref="A1:J21"/>
  <sheetViews>
    <sheetView topLeftCell="A6" workbookViewId="0">
      <selection activeCell="B12" sqref="B12"/>
    </sheetView>
  </sheetViews>
  <sheetFormatPr defaultRowHeight="15" x14ac:dyDescent="0.25"/>
  <cols>
    <col min="1" max="1" width="23" customWidth="1"/>
    <col min="2" max="2" width="13" customWidth="1"/>
    <col min="3" max="3" width="16.5703125" customWidth="1"/>
    <col min="4" max="4" width="67.28515625" customWidth="1"/>
    <col min="7" max="7" width="9.140625" customWidth="1"/>
    <col min="8" max="8" width="17.42578125" customWidth="1"/>
    <col min="9" max="9" width="16.85546875" customWidth="1"/>
    <col min="10" max="10" width="9.140625" customWidth="1"/>
  </cols>
  <sheetData>
    <row r="1" spans="1:10" ht="15.75" x14ac:dyDescent="0.25">
      <c r="A1" s="150" t="s">
        <v>73</v>
      </c>
      <c r="B1" s="151"/>
      <c r="C1" s="151"/>
      <c r="D1" s="151"/>
    </row>
    <row r="2" spans="1:10" ht="15.75" x14ac:dyDescent="0.25">
      <c r="A2" s="37" t="s">
        <v>74</v>
      </c>
      <c r="B2" s="165" t="s">
        <v>23</v>
      </c>
      <c r="C2" s="166"/>
      <c r="D2" s="167"/>
    </row>
    <row r="3" spans="1:10" ht="15.75" x14ac:dyDescent="0.25">
      <c r="A3" s="37" t="s">
        <v>75</v>
      </c>
      <c r="B3" s="165" t="s">
        <v>52</v>
      </c>
      <c r="C3" s="166"/>
      <c r="D3" s="167"/>
    </row>
    <row r="4" spans="1:10" ht="21.75" customHeight="1" x14ac:dyDescent="0.25">
      <c r="A4" s="33" t="s">
        <v>76</v>
      </c>
      <c r="B4" s="168" t="s">
        <v>165</v>
      </c>
      <c r="C4" s="169"/>
      <c r="D4" s="170"/>
    </row>
    <row r="5" spans="1:10" s="32" customFormat="1" ht="162" customHeight="1" x14ac:dyDescent="0.25">
      <c r="A5" s="34" t="s">
        <v>78</v>
      </c>
      <c r="B5" s="171" t="s">
        <v>166</v>
      </c>
      <c r="C5" s="172"/>
      <c r="D5" s="173"/>
    </row>
    <row r="6" spans="1:10" s="32" customFormat="1" ht="120" x14ac:dyDescent="0.25">
      <c r="A6" s="34" t="s">
        <v>80</v>
      </c>
      <c r="B6" s="171" t="s">
        <v>146</v>
      </c>
      <c r="C6" s="172"/>
      <c r="D6" s="173"/>
    </row>
    <row r="7" spans="1:10" s="32" customFormat="1" ht="30" x14ac:dyDescent="0.25">
      <c r="A7" s="34" t="s">
        <v>82</v>
      </c>
      <c r="B7" s="171" t="s">
        <v>147</v>
      </c>
      <c r="C7" s="172"/>
      <c r="D7" s="173"/>
    </row>
    <row r="8" spans="1:10" s="32" customFormat="1" ht="105" x14ac:dyDescent="0.25">
      <c r="A8" s="34" t="s">
        <v>84</v>
      </c>
      <c r="B8" s="174"/>
      <c r="C8" s="175"/>
      <c r="D8" s="176"/>
    </row>
    <row r="9" spans="1:10" x14ac:dyDescent="0.25">
      <c r="A9" s="3"/>
      <c r="B9" s="2"/>
      <c r="C9" s="2"/>
      <c r="D9" s="2"/>
    </row>
    <row r="10" spans="1:10" x14ac:dyDescent="0.25">
      <c r="A10" s="148" t="s">
        <v>85</v>
      </c>
      <c r="B10" s="149"/>
      <c r="C10" s="149"/>
      <c r="D10" s="149"/>
    </row>
    <row r="11" spans="1:10" x14ac:dyDescent="0.25">
      <c r="A11" s="27" t="s">
        <v>86</v>
      </c>
      <c r="B11" s="28" t="s">
        <v>87</v>
      </c>
      <c r="C11" s="28" t="s">
        <v>88</v>
      </c>
      <c r="D11" s="30" t="s">
        <v>89</v>
      </c>
    </row>
    <row r="12" spans="1:10" x14ac:dyDescent="0.25">
      <c r="A12" s="50" t="s">
        <v>148</v>
      </c>
      <c r="B12" s="86">
        <v>6300</v>
      </c>
      <c r="C12" s="51">
        <v>3</v>
      </c>
      <c r="D12" s="79">
        <v>18900</v>
      </c>
    </row>
    <row r="13" spans="1:10" x14ac:dyDescent="0.25">
      <c r="A13" s="31"/>
      <c r="B13" s="29"/>
      <c r="C13" s="29"/>
      <c r="D13" s="6">
        <f t="shared" ref="D13:D14" si="0">B13*C13</f>
        <v>0</v>
      </c>
    </row>
    <row r="14" spans="1:10" x14ac:dyDescent="0.25">
      <c r="A14" s="31"/>
      <c r="B14" s="29"/>
      <c r="C14" s="29"/>
      <c r="D14" s="6">
        <f t="shared" si="0"/>
        <v>0</v>
      </c>
    </row>
    <row r="15" spans="1:10" x14ac:dyDescent="0.25">
      <c r="A15" s="12"/>
      <c r="B15" s="13"/>
      <c r="C15" s="14"/>
      <c r="D15" s="6">
        <f>B15*C15</f>
        <v>0</v>
      </c>
      <c r="H15" s="9"/>
      <c r="I15" s="10"/>
      <c r="J15" s="10"/>
    </row>
    <row r="16" spans="1:10" x14ac:dyDescent="0.25">
      <c r="A16" s="12"/>
      <c r="B16" s="13"/>
      <c r="C16" s="15"/>
      <c r="D16" s="6">
        <f>B16*C16</f>
        <v>0</v>
      </c>
      <c r="H16" s="9"/>
      <c r="I16" s="10"/>
      <c r="J16" s="10"/>
    </row>
    <row r="17" spans="1:10" x14ac:dyDescent="0.25">
      <c r="A17" s="12"/>
      <c r="B17" s="13"/>
      <c r="C17" s="16"/>
      <c r="D17" s="6">
        <f>B17*C17</f>
        <v>0</v>
      </c>
      <c r="H17" s="9"/>
      <c r="I17" s="10"/>
      <c r="J17" s="10"/>
    </row>
    <row r="18" spans="1:10" x14ac:dyDescent="0.25">
      <c r="A18" s="142" t="s">
        <v>96</v>
      </c>
      <c r="B18" s="143"/>
      <c r="C18" s="144"/>
      <c r="D18" s="5">
        <f>SUM(D12:D17)</f>
        <v>18900</v>
      </c>
      <c r="H18" s="11"/>
      <c r="I18" s="10"/>
    </row>
    <row r="19" spans="1:10" x14ac:dyDescent="0.25">
      <c r="H19" s="11"/>
      <c r="I19" s="10"/>
    </row>
    <row r="20" spans="1:10" x14ac:dyDescent="0.25">
      <c r="A20" s="24"/>
      <c r="B20" s="10"/>
      <c r="H20" s="11"/>
      <c r="I20" s="10"/>
    </row>
    <row r="21" spans="1:10" x14ac:dyDescent="0.25">
      <c r="H21" s="11"/>
      <c r="I21" s="10"/>
    </row>
  </sheetData>
  <mergeCells count="10">
    <mergeCell ref="B7:D7"/>
    <mergeCell ref="B8:D8"/>
    <mergeCell ref="A10:D10"/>
    <mergeCell ref="A18:C18"/>
    <mergeCell ref="A1:D1"/>
    <mergeCell ref="B2:D2"/>
    <mergeCell ref="B3:D3"/>
    <mergeCell ref="B4:D4"/>
    <mergeCell ref="B5:D5"/>
    <mergeCell ref="B6:D6"/>
  </mergeCells>
  <pageMargins left="0.7" right="0.7" top="0.75" bottom="0.75" header="0.3" footer="0.3"/>
  <pageSetup orientation="portrait"/>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C84DD-B4D8-4D12-B742-B261732AFA76}">
  <dimension ref="A1:J21"/>
  <sheetViews>
    <sheetView topLeftCell="A6" workbookViewId="0">
      <selection activeCell="E8" sqref="E8"/>
    </sheetView>
  </sheetViews>
  <sheetFormatPr defaultRowHeight="15" x14ac:dyDescent="0.25"/>
  <cols>
    <col min="1" max="1" width="23" customWidth="1"/>
    <col min="2" max="2" width="13" customWidth="1"/>
    <col min="3" max="3" width="16.5703125" customWidth="1"/>
    <col min="4" max="4" width="51.5703125" customWidth="1"/>
    <col min="7" max="7" width="9.140625" customWidth="1"/>
    <col min="8" max="8" width="17.42578125" customWidth="1"/>
    <col min="9" max="9" width="16.85546875" customWidth="1"/>
    <col min="10" max="10" width="9.140625" customWidth="1"/>
  </cols>
  <sheetData>
    <row r="1" spans="1:10" ht="15.75" x14ac:dyDescent="0.25">
      <c r="A1" s="150" t="s">
        <v>73</v>
      </c>
      <c r="B1" s="151"/>
      <c r="C1" s="151"/>
      <c r="D1" s="151"/>
    </row>
    <row r="2" spans="1:10" ht="15.75" x14ac:dyDescent="0.25">
      <c r="A2" s="37" t="s">
        <v>74</v>
      </c>
      <c r="B2" s="165" t="s">
        <v>59</v>
      </c>
      <c r="C2" s="166"/>
      <c r="D2" s="167"/>
    </row>
    <row r="3" spans="1:10" ht="15.75" x14ac:dyDescent="0.25">
      <c r="A3" s="37" t="s">
        <v>75</v>
      </c>
      <c r="B3" s="165" t="s">
        <v>60</v>
      </c>
      <c r="C3" s="166"/>
      <c r="D3" s="167"/>
    </row>
    <row r="4" spans="1:10" ht="21.75" customHeight="1" x14ac:dyDescent="0.25">
      <c r="A4" s="33" t="s">
        <v>76</v>
      </c>
      <c r="B4" s="168" t="s">
        <v>61</v>
      </c>
      <c r="C4" s="169"/>
      <c r="D4" s="170"/>
    </row>
    <row r="5" spans="1:10" s="32" customFormat="1" ht="102" customHeight="1" x14ac:dyDescent="0.25">
      <c r="A5" s="34" t="s">
        <v>78</v>
      </c>
      <c r="B5" s="171" t="s">
        <v>167</v>
      </c>
      <c r="C5" s="172"/>
      <c r="D5" s="173"/>
    </row>
    <row r="6" spans="1:10" s="32" customFormat="1" ht="120" x14ac:dyDescent="0.25">
      <c r="A6" s="34" t="s">
        <v>80</v>
      </c>
      <c r="B6" s="171" t="s">
        <v>168</v>
      </c>
      <c r="C6" s="172"/>
      <c r="D6" s="173"/>
    </row>
    <row r="7" spans="1:10" s="32" customFormat="1" ht="30" x14ac:dyDescent="0.25">
      <c r="A7" s="34" t="s">
        <v>82</v>
      </c>
      <c r="B7" s="171" t="s">
        <v>169</v>
      </c>
      <c r="C7" s="172"/>
      <c r="D7" s="173"/>
    </row>
    <row r="8" spans="1:10" s="32" customFormat="1" ht="105" x14ac:dyDescent="0.25">
      <c r="A8" s="34" t="s">
        <v>84</v>
      </c>
      <c r="B8" s="171" t="s">
        <v>170</v>
      </c>
      <c r="C8" s="172"/>
      <c r="D8" s="173"/>
    </row>
    <row r="9" spans="1:10" x14ac:dyDescent="0.25">
      <c r="A9" s="3"/>
      <c r="B9" s="2"/>
      <c r="C9" s="2"/>
      <c r="D9" s="2"/>
    </row>
    <row r="10" spans="1:10" x14ac:dyDescent="0.25">
      <c r="A10" s="148" t="s">
        <v>85</v>
      </c>
      <c r="B10" s="149"/>
      <c r="C10" s="149"/>
      <c r="D10" s="149"/>
    </row>
    <row r="11" spans="1:10" x14ac:dyDescent="0.25">
      <c r="A11" s="27" t="s">
        <v>86</v>
      </c>
      <c r="B11" s="28" t="s">
        <v>87</v>
      </c>
      <c r="C11" s="28" t="s">
        <v>88</v>
      </c>
      <c r="D11" s="30" t="s">
        <v>89</v>
      </c>
    </row>
    <row r="12" spans="1:10" ht="75" x14ac:dyDescent="0.25">
      <c r="A12" s="78" t="s">
        <v>171</v>
      </c>
      <c r="B12" s="51">
        <v>400</v>
      </c>
      <c r="C12" s="51">
        <v>31</v>
      </c>
      <c r="D12" s="79">
        <v>12400</v>
      </c>
    </row>
    <row r="13" spans="1:10" ht="75" x14ac:dyDescent="0.25">
      <c r="A13" s="80" t="s">
        <v>172</v>
      </c>
      <c r="B13" s="53">
        <v>400</v>
      </c>
      <c r="C13" s="53">
        <v>31</v>
      </c>
      <c r="D13" s="79">
        <v>12400</v>
      </c>
    </row>
    <row r="14" spans="1:10" x14ac:dyDescent="0.25">
      <c r="A14" s="31"/>
      <c r="B14" s="29"/>
      <c r="C14" s="29"/>
      <c r="D14" s="6">
        <f t="shared" ref="D14" si="0">B14*C14</f>
        <v>0</v>
      </c>
    </row>
    <row r="15" spans="1:10" x14ac:dyDescent="0.25">
      <c r="A15" s="12"/>
      <c r="B15" s="13"/>
      <c r="C15" s="14"/>
      <c r="D15" s="6">
        <f>B15*C15</f>
        <v>0</v>
      </c>
      <c r="H15" s="9"/>
      <c r="I15" s="10"/>
      <c r="J15" s="10"/>
    </row>
    <row r="16" spans="1:10" x14ac:dyDescent="0.25">
      <c r="A16" s="12"/>
      <c r="B16" s="13"/>
      <c r="C16" s="15"/>
      <c r="D16" s="6">
        <f>B16*C16</f>
        <v>0</v>
      </c>
      <c r="H16" s="9"/>
      <c r="I16" s="10"/>
      <c r="J16" s="10"/>
    </row>
    <row r="17" spans="1:10" x14ac:dyDescent="0.25">
      <c r="A17" s="12"/>
      <c r="B17" s="13"/>
      <c r="C17" s="16"/>
      <c r="D17" s="6">
        <f>B17*C17</f>
        <v>0</v>
      </c>
      <c r="H17" s="9"/>
      <c r="I17" s="10"/>
      <c r="J17" s="10"/>
    </row>
    <row r="18" spans="1:10" x14ac:dyDescent="0.25">
      <c r="A18" s="142" t="s">
        <v>96</v>
      </c>
      <c r="B18" s="143"/>
      <c r="C18" s="144"/>
      <c r="D18" s="5">
        <f>SUM(D12:D17)</f>
        <v>24800</v>
      </c>
      <c r="H18" s="11"/>
      <c r="I18" s="10"/>
    </row>
    <row r="19" spans="1:10" x14ac:dyDescent="0.25">
      <c r="H19" s="11"/>
      <c r="I19" s="10"/>
    </row>
    <row r="20" spans="1:10" x14ac:dyDescent="0.25">
      <c r="A20" s="24"/>
      <c r="B20" s="10"/>
      <c r="H20" s="11"/>
      <c r="I20" s="10"/>
    </row>
    <row r="21" spans="1:10" x14ac:dyDescent="0.25">
      <c r="H21" s="11"/>
      <c r="I21" s="10"/>
    </row>
  </sheetData>
  <mergeCells count="10">
    <mergeCell ref="B7:D7"/>
    <mergeCell ref="B8:D8"/>
    <mergeCell ref="A10:D10"/>
    <mergeCell ref="A18:C18"/>
    <mergeCell ref="A1:D1"/>
    <mergeCell ref="B2:D2"/>
    <mergeCell ref="B3:D3"/>
    <mergeCell ref="B4:D4"/>
    <mergeCell ref="B5:D5"/>
    <mergeCell ref="B6:D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F39FC-4731-44E7-BA3D-0642706F563A}">
  <dimension ref="A1:J21"/>
  <sheetViews>
    <sheetView topLeftCell="A6" workbookViewId="0">
      <selection activeCell="B5" sqref="B5:D5"/>
    </sheetView>
  </sheetViews>
  <sheetFormatPr defaultRowHeight="15" x14ac:dyDescent="0.25"/>
  <cols>
    <col min="1" max="1" width="23" customWidth="1"/>
    <col min="2" max="2" width="13" customWidth="1"/>
    <col min="3" max="3" width="16.5703125" customWidth="1"/>
    <col min="4" max="4" width="60.140625" customWidth="1"/>
    <col min="7" max="7" width="9.140625" customWidth="1"/>
    <col min="8" max="8" width="17.42578125" customWidth="1"/>
    <col min="9" max="9" width="16.85546875" customWidth="1"/>
    <col min="10" max="10" width="9.140625" customWidth="1"/>
  </cols>
  <sheetData>
    <row r="1" spans="1:10" ht="15.75" x14ac:dyDescent="0.25">
      <c r="A1" s="150" t="s">
        <v>73</v>
      </c>
      <c r="B1" s="151"/>
      <c r="C1" s="151"/>
      <c r="D1" s="151"/>
    </row>
    <row r="2" spans="1:10" ht="15.75" x14ac:dyDescent="0.25">
      <c r="A2" s="37" t="s">
        <v>74</v>
      </c>
      <c r="B2" s="165" t="s">
        <v>59</v>
      </c>
      <c r="C2" s="166"/>
      <c r="D2" s="167"/>
    </row>
    <row r="3" spans="1:10" ht="15.75" x14ac:dyDescent="0.25">
      <c r="A3" s="37" t="s">
        <v>75</v>
      </c>
      <c r="B3" s="165" t="s">
        <v>60</v>
      </c>
      <c r="C3" s="166"/>
      <c r="D3" s="167"/>
    </row>
    <row r="4" spans="1:10" ht="21.75" customHeight="1" x14ac:dyDescent="0.25">
      <c r="A4" s="33" t="s">
        <v>76</v>
      </c>
      <c r="B4" s="168" t="s">
        <v>173</v>
      </c>
      <c r="C4" s="169"/>
      <c r="D4" s="170"/>
    </row>
    <row r="5" spans="1:10" s="32" customFormat="1" ht="107.25" customHeight="1" x14ac:dyDescent="0.25">
      <c r="A5" s="34" t="s">
        <v>78</v>
      </c>
      <c r="B5" s="171" t="s">
        <v>174</v>
      </c>
      <c r="C5" s="172"/>
      <c r="D5" s="173"/>
    </row>
    <row r="6" spans="1:10" s="32" customFormat="1" ht="120" x14ac:dyDescent="0.25">
      <c r="A6" s="34" t="s">
        <v>80</v>
      </c>
      <c r="B6" s="171" t="s">
        <v>168</v>
      </c>
      <c r="C6" s="172"/>
      <c r="D6" s="173"/>
    </row>
    <row r="7" spans="1:10" s="32" customFormat="1" ht="30" x14ac:dyDescent="0.25">
      <c r="A7" s="34" t="s">
        <v>82</v>
      </c>
      <c r="B7" s="171" t="s">
        <v>169</v>
      </c>
      <c r="C7" s="172"/>
      <c r="D7" s="173"/>
    </row>
    <row r="8" spans="1:10" s="32" customFormat="1" ht="105" x14ac:dyDescent="0.25">
      <c r="A8" s="34" t="s">
        <v>84</v>
      </c>
      <c r="B8" s="171" t="s">
        <v>170</v>
      </c>
      <c r="C8" s="172"/>
      <c r="D8" s="173"/>
    </row>
    <row r="9" spans="1:10" x14ac:dyDescent="0.25">
      <c r="A9" s="3"/>
      <c r="B9" s="2"/>
      <c r="C9" s="2"/>
      <c r="D9" s="2"/>
    </row>
    <row r="10" spans="1:10" x14ac:dyDescent="0.25">
      <c r="A10" s="148" t="s">
        <v>85</v>
      </c>
      <c r="B10" s="149"/>
      <c r="C10" s="149"/>
      <c r="D10" s="149"/>
    </row>
    <row r="11" spans="1:10" x14ac:dyDescent="0.25">
      <c r="A11" s="27" t="s">
        <v>86</v>
      </c>
      <c r="B11" s="28" t="s">
        <v>87</v>
      </c>
      <c r="C11" s="28" t="s">
        <v>88</v>
      </c>
      <c r="D11" s="30" t="s">
        <v>89</v>
      </c>
    </row>
    <row r="12" spans="1:10" ht="60" x14ac:dyDescent="0.25">
      <c r="A12" s="78" t="s">
        <v>175</v>
      </c>
      <c r="B12" s="51">
        <v>300</v>
      </c>
      <c r="C12" s="51">
        <v>55</v>
      </c>
      <c r="D12" s="79">
        <v>16500</v>
      </c>
    </row>
    <row r="13" spans="1:10" ht="60" x14ac:dyDescent="0.25">
      <c r="A13" s="80" t="s">
        <v>176</v>
      </c>
      <c r="B13" s="53">
        <v>300</v>
      </c>
      <c r="C13" s="53">
        <v>55</v>
      </c>
      <c r="D13" s="79">
        <v>16500</v>
      </c>
    </row>
    <row r="14" spans="1:10" ht="60" x14ac:dyDescent="0.25">
      <c r="A14" s="80" t="s">
        <v>176</v>
      </c>
      <c r="B14" s="53">
        <v>300</v>
      </c>
      <c r="C14" s="53">
        <v>55</v>
      </c>
      <c r="D14" s="79">
        <v>16500</v>
      </c>
    </row>
    <row r="15" spans="1:10" x14ac:dyDescent="0.25">
      <c r="A15" s="12"/>
      <c r="B15" s="13"/>
      <c r="C15" s="14"/>
      <c r="D15" s="6">
        <f>B15*C15</f>
        <v>0</v>
      </c>
      <c r="H15" s="9"/>
      <c r="I15" s="10"/>
      <c r="J15" s="10"/>
    </row>
    <row r="16" spans="1:10" x14ac:dyDescent="0.25">
      <c r="A16" s="12"/>
      <c r="B16" s="13"/>
      <c r="C16" s="15"/>
      <c r="D16" s="6">
        <f>B16*C16</f>
        <v>0</v>
      </c>
      <c r="H16" s="9"/>
      <c r="I16" s="10"/>
      <c r="J16" s="10"/>
    </row>
    <row r="17" spans="1:10" x14ac:dyDescent="0.25">
      <c r="A17" s="12"/>
      <c r="B17" s="13"/>
      <c r="C17" s="16"/>
      <c r="D17" s="6">
        <f>B17*C17</f>
        <v>0</v>
      </c>
      <c r="H17" s="9"/>
      <c r="I17" s="10"/>
      <c r="J17" s="10"/>
    </row>
    <row r="18" spans="1:10" x14ac:dyDescent="0.25">
      <c r="A18" s="142" t="s">
        <v>96</v>
      </c>
      <c r="B18" s="143"/>
      <c r="C18" s="144"/>
      <c r="D18" s="5">
        <f>SUM(D12:D17)</f>
        <v>49500</v>
      </c>
      <c r="H18" s="11"/>
      <c r="I18" s="10"/>
    </row>
    <row r="19" spans="1:10" x14ac:dyDescent="0.25">
      <c r="H19" s="11"/>
      <c r="I19" s="10"/>
    </row>
    <row r="20" spans="1:10" x14ac:dyDescent="0.25">
      <c r="A20" s="24"/>
      <c r="B20" s="10"/>
      <c r="H20" s="11"/>
      <c r="I20" s="10"/>
    </row>
    <row r="21" spans="1:10" x14ac:dyDescent="0.25">
      <c r="H21" s="11"/>
      <c r="I21" s="10"/>
    </row>
  </sheetData>
  <mergeCells count="10">
    <mergeCell ref="B7:D7"/>
    <mergeCell ref="B8:D8"/>
    <mergeCell ref="A10:D10"/>
    <mergeCell ref="A18:C18"/>
    <mergeCell ref="A1:D1"/>
    <mergeCell ref="B2:D2"/>
    <mergeCell ref="B3:D3"/>
    <mergeCell ref="B4:D4"/>
    <mergeCell ref="B5:D5"/>
    <mergeCell ref="B6:D6"/>
  </mergeCells>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BEF9F-0623-4C53-B943-4A15C3E65EBE}">
  <dimension ref="A1:J21"/>
  <sheetViews>
    <sheetView topLeftCell="A6" workbookViewId="0">
      <selection activeCell="B5" sqref="B5:D5"/>
    </sheetView>
  </sheetViews>
  <sheetFormatPr defaultRowHeight="15" x14ac:dyDescent="0.25"/>
  <cols>
    <col min="1" max="1" width="23" customWidth="1"/>
    <col min="2" max="2" width="13" customWidth="1"/>
    <col min="3" max="3" width="16.5703125" customWidth="1"/>
    <col min="4" max="4" width="59.7109375" customWidth="1"/>
    <col min="7" max="7" width="9.140625" customWidth="1"/>
    <col min="8" max="8" width="17.42578125" customWidth="1"/>
    <col min="9" max="9" width="16.85546875" customWidth="1"/>
    <col min="10" max="10" width="9.140625" customWidth="1"/>
  </cols>
  <sheetData>
    <row r="1" spans="1:10" ht="15.75" x14ac:dyDescent="0.25">
      <c r="A1" s="150" t="s">
        <v>73</v>
      </c>
      <c r="B1" s="151"/>
      <c r="C1" s="151"/>
      <c r="D1" s="151"/>
    </row>
    <row r="2" spans="1:10" ht="15.75" x14ac:dyDescent="0.25">
      <c r="A2" s="37" t="s">
        <v>74</v>
      </c>
      <c r="B2" s="165" t="s">
        <v>59</v>
      </c>
      <c r="C2" s="166"/>
      <c r="D2" s="167"/>
    </row>
    <row r="3" spans="1:10" ht="15.75" x14ac:dyDescent="0.25">
      <c r="A3" s="37" t="s">
        <v>75</v>
      </c>
      <c r="B3" s="165" t="s">
        <v>60</v>
      </c>
      <c r="C3" s="166"/>
      <c r="D3" s="167"/>
    </row>
    <row r="4" spans="1:10" ht="21.75" customHeight="1" x14ac:dyDescent="0.25">
      <c r="A4" s="33" t="s">
        <v>76</v>
      </c>
      <c r="B4" s="168" t="s">
        <v>177</v>
      </c>
      <c r="C4" s="169"/>
      <c r="D4" s="170"/>
    </row>
    <row r="5" spans="1:10" s="32" customFormat="1" ht="105.75" customHeight="1" x14ac:dyDescent="0.25">
      <c r="A5" s="34" t="s">
        <v>78</v>
      </c>
      <c r="B5" s="171" t="s">
        <v>178</v>
      </c>
      <c r="C5" s="172"/>
      <c r="D5" s="173"/>
    </row>
    <row r="6" spans="1:10" s="32" customFormat="1" ht="120" x14ac:dyDescent="0.25">
      <c r="A6" s="34" t="s">
        <v>80</v>
      </c>
      <c r="B6" s="171" t="s">
        <v>168</v>
      </c>
      <c r="C6" s="172"/>
      <c r="D6" s="173"/>
    </row>
    <row r="7" spans="1:10" s="32" customFormat="1" ht="30" x14ac:dyDescent="0.25">
      <c r="A7" s="34" t="s">
        <v>82</v>
      </c>
      <c r="B7" s="171" t="s">
        <v>169</v>
      </c>
      <c r="C7" s="172"/>
      <c r="D7" s="173"/>
    </row>
    <row r="8" spans="1:10" s="32" customFormat="1" ht="105" x14ac:dyDescent="0.25">
      <c r="A8" s="34" t="s">
        <v>84</v>
      </c>
      <c r="B8" s="171" t="s">
        <v>170</v>
      </c>
      <c r="C8" s="172"/>
      <c r="D8" s="173"/>
    </row>
    <row r="9" spans="1:10" x14ac:dyDescent="0.25">
      <c r="A9" s="3"/>
      <c r="B9" s="2"/>
      <c r="C9" s="2"/>
      <c r="D9" s="2"/>
    </row>
    <row r="10" spans="1:10" x14ac:dyDescent="0.25">
      <c r="A10" s="148" t="s">
        <v>85</v>
      </c>
      <c r="B10" s="149"/>
      <c r="C10" s="149"/>
      <c r="D10" s="149"/>
    </row>
    <row r="11" spans="1:10" x14ac:dyDescent="0.25">
      <c r="A11" s="27" t="s">
        <v>86</v>
      </c>
      <c r="B11" s="28" t="s">
        <v>87</v>
      </c>
      <c r="C11" s="28" t="s">
        <v>88</v>
      </c>
      <c r="D11" s="30" t="s">
        <v>89</v>
      </c>
    </row>
    <row r="12" spans="1:10" ht="60" x14ac:dyDescent="0.25">
      <c r="A12" s="78" t="s">
        <v>175</v>
      </c>
      <c r="B12" s="51">
        <v>300</v>
      </c>
      <c r="C12" s="51">
        <v>17</v>
      </c>
      <c r="D12" s="79">
        <v>5100</v>
      </c>
    </row>
    <row r="13" spans="1:10" ht="60" x14ac:dyDescent="0.25">
      <c r="A13" s="80" t="s">
        <v>176</v>
      </c>
      <c r="B13" s="53">
        <v>300</v>
      </c>
      <c r="C13" s="53">
        <v>17</v>
      </c>
      <c r="D13" s="79">
        <v>5100</v>
      </c>
    </row>
    <row r="14" spans="1:10" ht="60" x14ac:dyDescent="0.25">
      <c r="A14" s="80" t="s">
        <v>179</v>
      </c>
      <c r="B14" s="53">
        <v>300</v>
      </c>
      <c r="C14" s="53">
        <v>17</v>
      </c>
      <c r="D14" s="79">
        <v>5100</v>
      </c>
    </row>
    <row r="15" spans="1:10" x14ac:dyDescent="0.25">
      <c r="A15" s="12"/>
      <c r="B15" s="13"/>
      <c r="C15" s="14"/>
      <c r="D15" s="6">
        <f>B15*C15</f>
        <v>0</v>
      </c>
      <c r="H15" s="9"/>
      <c r="I15" s="10"/>
      <c r="J15" s="10"/>
    </row>
    <row r="16" spans="1:10" x14ac:dyDescent="0.25">
      <c r="A16" s="12"/>
      <c r="B16" s="13"/>
      <c r="C16" s="15"/>
      <c r="D16" s="6">
        <f>B16*C16</f>
        <v>0</v>
      </c>
      <c r="H16" s="9"/>
      <c r="I16" s="10"/>
      <c r="J16" s="10"/>
    </row>
    <row r="17" spans="1:10" x14ac:dyDescent="0.25">
      <c r="A17" s="12"/>
      <c r="B17" s="13"/>
      <c r="C17" s="16"/>
      <c r="D17" s="6">
        <f>B17*C17</f>
        <v>0</v>
      </c>
      <c r="H17" s="9"/>
      <c r="I17" s="10"/>
      <c r="J17" s="10"/>
    </row>
    <row r="18" spans="1:10" x14ac:dyDescent="0.25">
      <c r="A18" s="142" t="s">
        <v>96</v>
      </c>
      <c r="B18" s="143"/>
      <c r="C18" s="144"/>
      <c r="D18" s="5">
        <f>SUM(D12:D17)</f>
        <v>15300</v>
      </c>
      <c r="H18" s="11"/>
      <c r="I18" s="10"/>
    </row>
    <row r="19" spans="1:10" x14ac:dyDescent="0.25">
      <c r="H19" s="11"/>
      <c r="I19" s="10"/>
    </row>
    <row r="20" spans="1:10" x14ac:dyDescent="0.25">
      <c r="A20" s="24"/>
      <c r="B20" s="10"/>
      <c r="H20" s="11"/>
      <c r="I20" s="10"/>
    </row>
    <row r="21" spans="1:10" x14ac:dyDescent="0.25">
      <c r="H21" s="11"/>
      <c r="I21" s="10"/>
    </row>
  </sheetData>
  <mergeCells count="10">
    <mergeCell ref="B7:D7"/>
    <mergeCell ref="B8:D8"/>
    <mergeCell ref="A10:D10"/>
    <mergeCell ref="A18:C18"/>
    <mergeCell ref="A1:D1"/>
    <mergeCell ref="B2:D2"/>
    <mergeCell ref="B3:D3"/>
    <mergeCell ref="B4:D4"/>
    <mergeCell ref="B5:D5"/>
    <mergeCell ref="B6:D6"/>
  </mergeCell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0CF3D-C866-45BE-89A8-0CE155431DF1}">
  <dimension ref="A1:J21"/>
  <sheetViews>
    <sheetView workbookViewId="0">
      <selection activeCell="B6" sqref="B6:D6"/>
    </sheetView>
  </sheetViews>
  <sheetFormatPr defaultRowHeight="15" x14ac:dyDescent="0.25"/>
  <cols>
    <col min="1" max="1" width="23" customWidth="1"/>
    <col min="2" max="2" width="13" customWidth="1"/>
    <col min="3" max="3" width="16.5703125" customWidth="1"/>
    <col min="4" max="4" width="51.5703125" customWidth="1"/>
    <col min="7" max="7" width="9.140625" customWidth="1"/>
    <col min="8" max="8" width="17.42578125" customWidth="1"/>
    <col min="9" max="9" width="16.85546875" customWidth="1"/>
    <col min="10" max="10" width="9.140625" customWidth="1"/>
  </cols>
  <sheetData>
    <row r="1" spans="1:10" ht="15.75" x14ac:dyDescent="0.25">
      <c r="A1" s="150" t="s">
        <v>73</v>
      </c>
      <c r="B1" s="151"/>
      <c r="C1" s="151"/>
      <c r="D1" s="151"/>
    </row>
    <row r="2" spans="1:10" ht="15.75" x14ac:dyDescent="0.25">
      <c r="A2" s="37" t="s">
        <v>74</v>
      </c>
      <c r="B2" s="165" t="s">
        <v>59</v>
      </c>
      <c r="C2" s="166"/>
      <c r="D2" s="167"/>
    </row>
    <row r="3" spans="1:10" ht="15.75" x14ac:dyDescent="0.25">
      <c r="A3" s="37" t="s">
        <v>75</v>
      </c>
      <c r="B3" s="165" t="s">
        <v>60</v>
      </c>
      <c r="C3" s="166"/>
      <c r="D3" s="167"/>
    </row>
    <row r="4" spans="1:10" ht="21.75" customHeight="1" x14ac:dyDescent="0.25">
      <c r="A4" s="33" t="s">
        <v>76</v>
      </c>
      <c r="B4" s="168" t="s">
        <v>180</v>
      </c>
      <c r="C4" s="169"/>
      <c r="D4" s="170"/>
    </row>
    <row r="5" spans="1:10" s="32" customFormat="1" ht="60" x14ac:dyDescent="0.25">
      <c r="A5" s="34" t="s">
        <v>78</v>
      </c>
      <c r="B5" s="171" t="s">
        <v>178</v>
      </c>
      <c r="C5" s="172"/>
      <c r="D5" s="173"/>
    </row>
    <row r="6" spans="1:10" s="32" customFormat="1" ht="120" x14ac:dyDescent="0.25">
      <c r="A6" s="34" t="s">
        <v>80</v>
      </c>
      <c r="B6" s="171" t="s">
        <v>168</v>
      </c>
      <c r="C6" s="172"/>
      <c r="D6" s="173"/>
    </row>
    <row r="7" spans="1:10" s="32" customFormat="1" ht="30" x14ac:dyDescent="0.25">
      <c r="A7" s="34" t="s">
        <v>82</v>
      </c>
      <c r="B7" s="171" t="s">
        <v>169</v>
      </c>
      <c r="C7" s="172"/>
      <c r="D7" s="173"/>
    </row>
    <row r="8" spans="1:10" s="32" customFormat="1" ht="105" x14ac:dyDescent="0.25">
      <c r="A8" s="34" t="s">
        <v>84</v>
      </c>
      <c r="B8" s="171" t="s">
        <v>170</v>
      </c>
      <c r="C8" s="172"/>
      <c r="D8" s="173"/>
    </row>
    <row r="9" spans="1:10" x14ac:dyDescent="0.25">
      <c r="A9" s="3"/>
      <c r="B9" s="2"/>
      <c r="C9" s="2"/>
      <c r="D9" s="2"/>
    </row>
    <row r="10" spans="1:10" x14ac:dyDescent="0.25">
      <c r="A10" s="148" t="s">
        <v>85</v>
      </c>
      <c r="B10" s="149"/>
      <c r="C10" s="149"/>
      <c r="D10" s="149"/>
    </row>
    <row r="11" spans="1:10" x14ac:dyDescent="0.25">
      <c r="A11" s="27" t="s">
        <v>86</v>
      </c>
      <c r="B11" s="28" t="s">
        <v>87</v>
      </c>
      <c r="C11" s="28" t="s">
        <v>88</v>
      </c>
      <c r="D11" s="30" t="s">
        <v>89</v>
      </c>
    </row>
    <row r="12" spans="1:10" ht="60" x14ac:dyDescent="0.25">
      <c r="A12" s="78" t="s">
        <v>175</v>
      </c>
      <c r="B12" s="51">
        <v>300</v>
      </c>
      <c r="C12" s="51">
        <v>57</v>
      </c>
      <c r="D12" s="79">
        <v>17110</v>
      </c>
    </row>
    <row r="13" spans="1:10" ht="60" x14ac:dyDescent="0.25">
      <c r="A13" s="80" t="s">
        <v>176</v>
      </c>
      <c r="B13" s="53">
        <v>300</v>
      </c>
      <c r="C13" s="53">
        <v>57</v>
      </c>
      <c r="D13" s="79">
        <v>17110</v>
      </c>
    </row>
    <row r="14" spans="1:10" ht="60" x14ac:dyDescent="0.25">
      <c r="A14" s="80" t="s">
        <v>179</v>
      </c>
      <c r="B14" s="53">
        <v>300</v>
      </c>
      <c r="C14" s="53">
        <v>57</v>
      </c>
      <c r="D14" s="79">
        <v>17100</v>
      </c>
    </row>
    <row r="15" spans="1:10" x14ac:dyDescent="0.25">
      <c r="A15" s="12"/>
      <c r="B15" s="13"/>
      <c r="C15" s="14"/>
      <c r="D15" s="6">
        <f>B15*C15</f>
        <v>0</v>
      </c>
      <c r="H15" s="9"/>
      <c r="I15" s="10"/>
      <c r="J15" s="10"/>
    </row>
    <row r="16" spans="1:10" x14ac:dyDescent="0.25">
      <c r="A16" s="12"/>
      <c r="B16" s="13"/>
      <c r="C16" s="15"/>
      <c r="D16" s="6">
        <f>B16*C16</f>
        <v>0</v>
      </c>
      <c r="H16" s="9"/>
      <c r="I16" s="10"/>
      <c r="J16" s="10"/>
    </row>
    <row r="17" spans="1:10" x14ac:dyDescent="0.25">
      <c r="A17" s="12"/>
      <c r="B17" s="13"/>
      <c r="C17" s="16"/>
      <c r="D17" s="6">
        <f>B17*C17</f>
        <v>0</v>
      </c>
      <c r="H17" s="9"/>
      <c r="I17" s="10"/>
      <c r="J17" s="10"/>
    </row>
    <row r="18" spans="1:10" x14ac:dyDescent="0.25">
      <c r="A18" s="142" t="s">
        <v>96</v>
      </c>
      <c r="B18" s="143"/>
      <c r="C18" s="144"/>
      <c r="D18" s="5">
        <f>SUM(D12:D17)</f>
        <v>51320</v>
      </c>
      <c r="H18" s="11"/>
      <c r="I18" s="10"/>
    </row>
    <row r="19" spans="1:10" x14ac:dyDescent="0.25">
      <c r="H19" s="11"/>
      <c r="I19" s="10"/>
    </row>
    <row r="20" spans="1:10" x14ac:dyDescent="0.25">
      <c r="A20" s="24"/>
      <c r="B20" s="10"/>
      <c r="H20" s="11"/>
      <c r="I20" s="10"/>
    </row>
    <row r="21" spans="1:10" x14ac:dyDescent="0.25">
      <c r="H21" s="11"/>
      <c r="I21" s="10"/>
    </row>
  </sheetData>
  <mergeCells count="10">
    <mergeCell ref="B7:D7"/>
    <mergeCell ref="B8:D8"/>
    <mergeCell ref="A10:D10"/>
    <mergeCell ref="A18:C18"/>
    <mergeCell ref="A1:D1"/>
    <mergeCell ref="B2:D2"/>
    <mergeCell ref="B3:D3"/>
    <mergeCell ref="B4:D4"/>
    <mergeCell ref="B5:D5"/>
    <mergeCell ref="B6:D6"/>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71DBA-D29E-453C-8037-CD5C28DEF46E}">
  <dimension ref="A1:J21"/>
  <sheetViews>
    <sheetView topLeftCell="A6" workbookViewId="0">
      <selection activeCell="F6" sqref="F6"/>
    </sheetView>
  </sheetViews>
  <sheetFormatPr defaultRowHeight="15" x14ac:dyDescent="0.25"/>
  <cols>
    <col min="1" max="1" width="23" customWidth="1"/>
    <col min="2" max="2" width="13" customWidth="1"/>
    <col min="3" max="3" width="16.5703125" customWidth="1"/>
    <col min="4" max="4" width="58.28515625" customWidth="1"/>
    <col min="7" max="7" width="9.140625" customWidth="1"/>
    <col min="8" max="8" width="17.42578125" customWidth="1"/>
    <col min="9" max="9" width="16.85546875" customWidth="1"/>
    <col min="10" max="10" width="9.140625" customWidth="1"/>
  </cols>
  <sheetData>
    <row r="1" spans="1:10" ht="15.75" x14ac:dyDescent="0.25">
      <c r="A1" s="150" t="s">
        <v>73</v>
      </c>
      <c r="B1" s="151"/>
      <c r="C1" s="151"/>
      <c r="D1" s="151"/>
    </row>
    <row r="2" spans="1:10" ht="15.75" x14ac:dyDescent="0.25">
      <c r="A2" s="37" t="s">
        <v>74</v>
      </c>
      <c r="B2" s="165" t="s">
        <v>59</v>
      </c>
      <c r="C2" s="166"/>
      <c r="D2" s="167"/>
    </row>
    <row r="3" spans="1:10" ht="15.75" x14ac:dyDescent="0.25">
      <c r="A3" s="37" t="s">
        <v>75</v>
      </c>
      <c r="B3" s="165" t="s">
        <v>68</v>
      </c>
      <c r="C3" s="166"/>
      <c r="D3" s="167"/>
    </row>
    <row r="4" spans="1:10" ht="21.75" customHeight="1" x14ac:dyDescent="0.25">
      <c r="A4" s="33" t="s">
        <v>76</v>
      </c>
      <c r="B4" s="168" t="s">
        <v>181</v>
      </c>
      <c r="C4" s="169"/>
      <c r="D4" s="170"/>
    </row>
    <row r="5" spans="1:10" s="32" customFormat="1" ht="117" customHeight="1" x14ac:dyDescent="0.25">
      <c r="A5" s="34" t="s">
        <v>78</v>
      </c>
      <c r="B5" s="171" t="s">
        <v>182</v>
      </c>
      <c r="C5" s="172"/>
      <c r="D5" s="173"/>
    </row>
    <row r="6" spans="1:10" s="32" customFormat="1" ht="120" x14ac:dyDescent="0.25">
      <c r="A6" s="34" t="s">
        <v>80</v>
      </c>
      <c r="B6" s="171" t="s">
        <v>183</v>
      </c>
      <c r="C6" s="172"/>
      <c r="D6" s="173"/>
    </row>
    <row r="7" spans="1:10" s="32" customFormat="1" ht="51" customHeight="1" x14ac:dyDescent="0.25">
      <c r="A7" s="34" t="s">
        <v>82</v>
      </c>
      <c r="B7" s="171" t="s">
        <v>184</v>
      </c>
      <c r="C7" s="172"/>
      <c r="D7" s="173"/>
    </row>
    <row r="8" spans="1:10" s="32" customFormat="1" ht="105" x14ac:dyDescent="0.25">
      <c r="A8" s="34" t="s">
        <v>84</v>
      </c>
      <c r="B8" s="171" t="s">
        <v>185</v>
      </c>
      <c r="C8" s="172"/>
      <c r="D8" s="173"/>
    </row>
    <row r="9" spans="1:10" x14ac:dyDescent="0.25">
      <c r="A9" s="3"/>
      <c r="B9" s="2"/>
      <c r="C9" s="2"/>
      <c r="D9" s="2"/>
    </row>
    <row r="10" spans="1:10" x14ac:dyDescent="0.25">
      <c r="A10" s="148" t="s">
        <v>85</v>
      </c>
      <c r="B10" s="149"/>
      <c r="C10" s="149"/>
      <c r="D10" s="149"/>
    </row>
    <row r="11" spans="1:10" x14ac:dyDescent="0.25">
      <c r="A11" s="27" t="s">
        <v>86</v>
      </c>
      <c r="B11" s="28" t="s">
        <v>87</v>
      </c>
      <c r="C11" s="28" t="s">
        <v>88</v>
      </c>
      <c r="D11" s="30" t="s">
        <v>89</v>
      </c>
    </row>
    <row r="12" spans="1:10" ht="45" x14ac:dyDescent="0.25">
      <c r="A12" s="78" t="s">
        <v>186</v>
      </c>
      <c r="B12" s="51">
        <v>400</v>
      </c>
      <c r="C12" s="51">
        <v>31</v>
      </c>
      <c r="D12" s="79">
        <v>12400</v>
      </c>
    </row>
    <row r="13" spans="1:10" ht="60" x14ac:dyDescent="0.25">
      <c r="A13" s="80" t="s">
        <v>187</v>
      </c>
      <c r="B13" s="53">
        <v>400</v>
      </c>
      <c r="C13" s="53">
        <v>55</v>
      </c>
      <c r="D13" s="79">
        <v>22000</v>
      </c>
    </row>
    <row r="14" spans="1:10" x14ac:dyDescent="0.25">
      <c r="A14" s="31"/>
      <c r="B14" s="29"/>
      <c r="C14" s="29"/>
      <c r="D14" s="6">
        <f t="shared" ref="D14" si="0">B14*C14</f>
        <v>0</v>
      </c>
    </row>
    <row r="15" spans="1:10" x14ac:dyDescent="0.25">
      <c r="A15" s="12"/>
      <c r="B15" s="13"/>
      <c r="C15" s="14"/>
      <c r="D15" s="6">
        <f>B15*C15</f>
        <v>0</v>
      </c>
      <c r="H15" s="9"/>
      <c r="I15" s="10"/>
      <c r="J15" s="10"/>
    </row>
    <row r="16" spans="1:10" x14ac:dyDescent="0.25">
      <c r="A16" s="12"/>
      <c r="B16" s="13"/>
      <c r="C16" s="15"/>
      <c r="D16" s="6">
        <f>B16*C16</f>
        <v>0</v>
      </c>
      <c r="H16" s="9"/>
      <c r="I16" s="10"/>
      <c r="J16" s="10"/>
    </row>
    <row r="17" spans="1:10" x14ac:dyDescent="0.25">
      <c r="A17" s="12"/>
      <c r="B17" s="13"/>
      <c r="C17" s="16"/>
      <c r="D17" s="6">
        <f>B17*C17</f>
        <v>0</v>
      </c>
      <c r="H17" s="9"/>
      <c r="I17" s="10"/>
      <c r="J17" s="10"/>
    </row>
    <row r="18" spans="1:10" x14ac:dyDescent="0.25">
      <c r="A18" s="142" t="s">
        <v>96</v>
      </c>
      <c r="B18" s="143"/>
      <c r="C18" s="144"/>
      <c r="D18" s="5">
        <f>SUM(D12:D17)</f>
        <v>34400</v>
      </c>
      <c r="H18" s="11"/>
      <c r="I18" s="10"/>
    </row>
    <row r="19" spans="1:10" x14ac:dyDescent="0.25">
      <c r="H19" s="11"/>
      <c r="I19" s="10"/>
    </row>
    <row r="20" spans="1:10" x14ac:dyDescent="0.25">
      <c r="A20" s="24"/>
      <c r="B20" s="10"/>
      <c r="H20" s="11"/>
      <c r="I20" s="10"/>
    </row>
    <row r="21" spans="1:10" x14ac:dyDescent="0.25">
      <c r="H21" s="11"/>
      <c r="I21" s="10"/>
    </row>
  </sheetData>
  <mergeCells count="10">
    <mergeCell ref="B7:D7"/>
    <mergeCell ref="B8:D8"/>
    <mergeCell ref="A10:D10"/>
    <mergeCell ref="A18:C18"/>
    <mergeCell ref="A1:D1"/>
    <mergeCell ref="B2:D2"/>
    <mergeCell ref="B3:D3"/>
    <mergeCell ref="B4:D4"/>
    <mergeCell ref="B5:D5"/>
    <mergeCell ref="B6:D6"/>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3C776-F1A9-4E26-B4DE-EA6871EC91EF}">
  <dimension ref="A1:J21"/>
  <sheetViews>
    <sheetView topLeftCell="A6" workbookViewId="0">
      <selection activeCell="D27" sqref="D27"/>
    </sheetView>
  </sheetViews>
  <sheetFormatPr defaultRowHeight="15" x14ac:dyDescent="0.25"/>
  <cols>
    <col min="1" max="1" width="23" customWidth="1"/>
    <col min="2" max="2" width="13" customWidth="1"/>
    <col min="3" max="3" width="16.5703125" customWidth="1"/>
    <col min="4" max="4" width="51.5703125" customWidth="1"/>
    <col min="7" max="7" width="9.140625" customWidth="1"/>
    <col min="8" max="8" width="17.42578125" customWidth="1"/>
    <col min="9" max="9" width="16.85546875" customWidth="1"/>
    <col min="10" max="10" width="9.140625" customWidth="1"/>
  </cols>
  <sheetData>
    <row r="1" spans="1:10" ht="15.75" x14ac:dyDescent="0.25">
      <c r="A1" s="150" t="s">
        <v>73</v>
      </c>
      <c r="B1" s="151"/>
      <c r="C1" s="151"/>
      <c r="D1" s="151"/>
    </row>
    <row r="2" spans="1:10" ht="15.75" x14ac:dyDescent="0.25">
      <c r="A2" s="37" t="s">
        <v>74</v>
      </c>
      <c r="B2" s="165" t="s">
        <v>59</v>
      </c>
      <c r="C2" s="166"/>
      <c r="D2" s="167"/>
    </row>
    <row r="3" spans="1:10" ht="15.75" x14ac:dyDescent="0.25">
      <c r="A3" s="37" t="s">
        <v>75</v>
      </c>
      <c r="B3" s="165" t="s">
        <v>68</v>
      </c>
      <c r="C3" s="166"/>
      <c r="D3" s="167"/>
    </row>
    <row r="4" spans="1:10" ht="21.75" customHeight="1" x14ac:dyDescent="0.25">
      <c r="A4" s="33" t="s">
        <v>76</v>
      </c>
      <c r="B4" s="168" t="s">
        <v>188</v>
      </c>
      <c r="C4" s="169"/>
      <c r="D4" s="170"/>
    </row>
    <row r="5" spans="1:10" s="32" customFormat="1" ht="60" x14ac:dyDescent="0.25">
      <c r="A5" s="34" t="s">
        <v>78</v>
      </c>
      <c r="B5" s="171" t="s">
        <v>189</v>
      </c>
      <c r="C5" s="172"/>
      <c r="D5" s="173"/>
    </row>
    <row r="6" spans="1:10" s="32" customFormat="1" ht="120" x14ac:dyDescent="0.25">
      <c r="A6" s="34" t="s">
        <v>80</v>
      </c>
      <c r="B6" s="171" t="s">
        <v>183</v>
      </c>
      <c r="C6" s="172"/>
      <c r="D6" s="173"/>
    </row>
    <row r="7" spans="1:10" s="32" customFormat="1" ht="30" x14ac:dyDescent="0.25">
      <c r="A7" s="34" t="s">
        <v>82</v>
      </c>
      <c r="B7" s="171" t="s">
        <v>184</v>
      </c>
      <c r="C7" s="172"/>
      <c r="D7" s="173"/>
    </row>
    <row r="8" spans="1:10" s="32" customFormat="1" ht="105" x14ac:dyDescent="0.25">
      <c r="A8" s="34" t="s">
        <v>84</v>
      </c>
      <c r="B8" s="171" t="s">
        <v>185</v>
      </c>
      <c r="C8" s="172"/>
      <c r="D8" s="173"/>
    </row>
    <row r="9" spans="1:10" x14ac:dyDescent="0.25">
      <c r="A9" s="3"/>
      <c r="B9" s="2"/>
      <c r="C9" s="2"/>
      <c r="D9" s="2"/>
    </row>
    <row r="10" spans="1:10" x14ac:dyDescent="0.25">
      <c r="A10" s="148" t="s">
        <v>85</v>
      </c>
      <c r="B10" s="149"/>
      <c r="C10" s="149"/>
      <c r="D10" s="149"/>
    </row>
    <row r="11" spans="1:10" x14ac:dyDescent="0.25">
      <c r="A11" s="27" t="s">
        <v>86</v>
      </c>
      <c r="B11" s="28" t="s">
        <v>87</v>
      </c>
      <c r="C11" s="28" t="s">
        <v>88</v>
      </c>
      <c r="D11" s="30" t="s">
        <v>89</v>
      </c>
    </row>
    <row r="12" spans="1:10" ht="45" x14ac:dyDescent="0.25">
      <c r="A12" s="78" t="s">
        <v>190</v>
      </c>
      <c r="B12" s="51">
        <v>400</v>
      </c>
      <c r="C12" s="51">
        <v>17</v>
      </c>
      <c r="D12" s="79">
        <v>6800</v>
      </c>
    </row>
    <row r="13" spans="1:10" x14ac:dyDescent="0.25">
      <c r="A13" s="31"/>
      <c r="B13" s="29"/>
      <c r="C13" s="29"/>
      <c r="D13" s="6">
        <f t="shared" ref="D13:D14" si="0">B13*C13</f>
        <v>0</v>
      </c>
    </row>
    <row r="14" spans="1:10" x14ac:dyDescent="0.25">
      <c r="A14" s="31"/>
      <c r="B14" s="29"/>
      <c r="C14" s="29"/>
      <c r="D14" s="6">
        <f t="shared" si="0"/>
        <v>0</v>
      </c>
    </row>
    <row r="15" spans="1:10" x14ac:dyDescent="0.25">
      <c r="A15" s="12"/>
      <c r="B15" s="13"/>
      <c r="C15" s="14"/>
      <c r="D15" s="6">
        <f>B15*C15</f>
        <v>0</v>
      </c>
      <c r="H15" s="9"/>
      <c r="I15" s="10"/>
      <c r="J15" s="10"/>
    </row>
    <row r="16" spans="1:10" x14ac:dyDescent="0.25">
      <c r="A16" s="12"/>
      <c r="B16" s="13"/>
      <c r="C16" s="15"/>
      <c r="D16" s="6">
        <f>B16*C16</f>
        <v>0</v>
      </c>
      <c r="H16" s="9"/>
      <c r="I16" s="10"/>
      <c r="J16" s="10"/>
    </row>
    <row r="17" spans="1:10" x14ac:dyDescent="0.25">
      <c r="A17" s="12"/>
      <c r="B17" s="13"/>
      <c r="C17" s="16"/>
      <c r="D17" s="6">
        <f>B17*C17</f>
        <v>0</v>
      </c>
      <c r="H17" s="9"/>
      <c r="I17" s="10"/>
      <c r="J17" s="10"/>
    </row>
    <row r="18" spans="1:10" x14ac:dyDescent="0.25">
      <c r="A18" s="142" t="s">
        <v>96</v>
      </c>
      <c r="B18" s="143"/>
      <c r="C18" s="144"/>
      <c r="D18" s="5">
        <f>SUM(D12:D17)</f>
        <v>6800</v>
      </c>
      <c r="H18" s="11"/>
      <c r="I18" s="10"/>
    </row>
    <row r="19" spans="1:10" x14ac:dyDescent="0.25">
      <c r="H19" s="11"/>
      <c r="I19" s="10"/>
    </row>
    <row r="20" spans="1:10" x14ac:dyDescent="0.25">
      <c r="A20" s="24"/>
      <c r="B20" s="10"/>
      <c r="H20" s="11"/>
      <c r="I20" s="10"/>
    </row>
    <row r="21" spans="1:10" x14ac:dyDescent="0.25">
      <c r="H21" s="11"/>
      <c r="I21" s="10"/>
    </row>
  </sheetData>
  <mergeCells count="10">
    <mergeCell ref="B7:D7"/>
    <mergeCell ref="B8:D8"/>
    <mergeCell ref="A10:D10"/>
    <mergeCell ref="A18:C18"/>
    <mergeCell ref="A1:D1"/>
    <mergeCell ref="B2:D2"/>
    <mergeCell ref="B3:D3"/>
    <mergeCell ref="B4:D4"/>
    <mergeCell ref="B5:D5"/>
    <mergeCell ref="B6:D6"/>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2A11C-ECF4-4426-AD50-9583E4B8904B}">
  <dimension ref="A1:J21"/>
  <sheetViews>
    <sheetView tabSelected="1" topLeftCell="A6" workbookViewId="0">
      <selection activeCell="A12" sqref="A12:D12"/>
    </sheetView>
  </sheetViews>
  <sheetFormatPr defaultRowHeight="15" x14ac:dyDescent="0.25"/>
  <cols>
    <col min="1" max="1" width="23" customWidth="1"/>
    <col min="2" max="2" width="13" customWidth="1"/>
    <col min="3" max="3" width="16.5703125" customWidth="1"/>
    <col min="4" max="4" width="51.5703125" customWidth="1"/>
    <col min="7" max="7" width="9.140625" customWidth="1"/>
    <col min="8" max="8" width="17.42578125" customWidth="1"/>
    <col min="9" max="9" width="16.85546875" customWidth="1"/>
    <col min="10" max="10" width="9.140625" customWidth="1"/>
  </cols>
  <sheetData>
    <row r="1" spans="1:10" ht="15.75" x14ac:dyDescent="0.25">
      <c r="A1" s="150" t="s">
        <v>73</v>
      </c>
      <c r="B1" s="151"/>
      <c r="C1" s="151"/>
      <c r="D1" s="151"/>
    </row>
    <row r="2" spans="1:10" ht="15.75" x14ac:dyDescent="0.25">
      <c r="A2" s="37" t="s">
        <v>74</v>
      </c>
      <c r="B2" s="165" t="s">
        <v>59</v>
      </c>
      <c r="C2" s="166"/>
      <c r="D2" s="167"/>
    </row>
    <row r="3" spans="1:10" ht="15.75" x14ac:dyDescent="0.25">
      <c r="A3" s="37" t="s">
        <v>75</v>
      </c>
      <c r="B3" s="165" t="s">
        <v>68</v>
      </c>
      <c r="C3" s="166"/>
      <c r="D3" s="167"/>
    </row>
    <row r="4" spans="1:10" ht="21.75" customHeight="1" x14ac:dyDescent="0.25">
      <c r="A4" s="33" t="s">
        <v>76</v>
      </c>
      <c r="B4" s="168" t="s">
        <v>191</v>
      </c>
      <c r="C4" s="169"/>
      <c r="D4" s="170"/>
    </row>
    <row r="5" spans="1:10" s="32" customFormat="1" ht="60" x14ac:dyDescent="0.25">
      <c r="A5" s="34" t="s">
        <v>78</v>
      </c>
      <c r="B5" s="171" t="s">
        <v>189</v>
      </c>
      <c r="C5" s="172"/>
      <c r="D5" s="173"/>
    </row>
    <row r="6" spans="1:10" s="32" customFormat="1" ht="120" x14ac:dyDescent="0.25">
      <c r="A6" s="34" t="s">
        <v>80</v>
      </c>
      <c r="B6" s="171" t="s">
        <v>183</v>
      </c>
      <c r="C6" s="172"/>
      <c r="D6" s="173"/>
    </row>
    <row r="7" spans="1:10" s="32" customFormat="1" ht="30" x14ac:dyDescent="0.25">
      <c r="A7" s="34" t="s">
        <v>82</v>
      </c>
      <c r="B7" s="171" t="s">
        <v>184</v>
      </c>
      <c r="C7" s="172"/>
      <c r="D7" s="173"/>
    </row>
    <row r="8" spans="1:10" s="32" customFormat="1" ht="105" x14ac:dyDescent="0.25">
      <c r="A8" s="34" t="s">
        <v>84</v>
      </c>
      <c r="B8" s="171" t="s">
        <v>185</v>
      </c>
      <c r="C8" s="172"/>
      <c r="D8" s="173"/>
    </row>
    <row r="9" spans="1:10" x14ac:dyDescent="0.25">
      <c r="A9" s="3"/>
      <c r="B9" s="2"/>
      <c r="C9" s="2"/>
      <c r="D9" s="2"/>
    </row>
    <row r="10" spans="1:10" x14ac:dyDescent="0.25">
      <c r="A10" s="148" t="s">
        <v>85</v>
      </c>
      <c r="B10" s="149"/>
      <c r="C10" s="149"/>
      <c r="D10" s="149"/>
    </row>
    <row r="11" spans="1:10" x14ac:dyDescent="0.25">
      <c r="A11" s="27" t="s">
        <v>86</v>
      </c>
      <c r="B11" s="28" t="s">
        <v>87</v>
      </c>
      <c r="C11" s="28" t="s">
        <v>88</v>
      </c>
      <c r="D11" s="30" t="s">
        <v>89</v>
      </c>
    </row>
    <row r="12" spans="1:10" ht="45" x14ac:dyDescent="0.25">
      <c r="A12" s="78" t="s">
        <v>192</v>
      </c>
      <c r="B12" s="51">
        <v>400</v>
      </c>
      <c r="C12" s="51">
        <v>57</v>
      </c>
      <c r="D12" s="79">
        <v>22800</v>
      </c>
    </row>
    <row r="13" spans="1:10" x14ac:dyDescent="0.25">
      <c r="A13" s="31"/>
      <c r="B13" s="29"/>
      <c r="C13" s="29"/>
      <c r="D13" s="6">
        <f t="shared" ref="D13:D14" si="0">B13*C13</f>
        <v>0</v>
      </c>
    </row>
    <row r="14" spans="1:10" x14ac:dyDescent="0.25">
      <c r="A14" s="31"/>
      <c r="B14" s="29"/>
      <c r="C14" s="29"/>
      <c r="D14" s="6">
        <f t="shared" si="0"/>
        <v>0</v>
      </c>
    </row>
    <row r="15" spans="1:10" x14ac:dyDescent="0.25">
      <c r="A15" s="12"/>
      <c r="B15" s="13"/>
      <c r="C15" s="14"/>
      <c r="D15" s="6">
        <f>B15*C15</f>
        <v>0</v>
      </c>
      <c r="H15" s="9"/>
      <c r="I15" s="10"/>
      <c r="J15" s="10"/>
    </row>
    <row r="16" spans="1:10" x14ac:dyDescent="0.25">
      <c r="A16" s="12"/>
      <c r="B16" s="13"/>
      <c r="C16" s="15"/>
      <c r="D16" s="6">
        <f>B16*C16</f>
        <v>0</v>
      </c>
      <c r="H16" s="9"/>
      <c r="I16" s="10"/>
      <c r="J16" s="10"/>
    </row>
    <row r="17" spans="1:10" x14ac:dyDescent="0.25">
      <c r="A17" s="12"/>
      <c r="B17" s="13"/>
      <c r="C17" s="16"/>
      <c r="D17" s="6">
        <f>B17*C17</f>
        <v>0</v>
      </c>
      <c r="H17" s="9"/>
      <c r="I17" s="10"/>
      <c r="J17" s="10"/>
    </row>
    <row r="18" spans="1:10" x14ac:dyDescent="0.25">
      <c r="A18" s="142" t="s">
        <v>96</v>
      </c>
      <c r="B18" s="143"/>
      <c r="C18" s="144"/>
      <c r="D18" s="5">
        <f>SUM(D12:D17)</f>
        <v>22800</v>
      </c>
      <c r="H18" s="11"/>
      <c r="I18" s="10"/>
    </row>
    <row r="19" spans="1:10" x14ac:dyDescent="0.25">
      <c r="H19" s="11"/>
      <c r="I19" s="10"/>
    </row>
    <row r="20" spans="1:10" x14ac:dyDescent="0.25">
      <c r="A20" s="24"/>
      <c r="B20" s="10"/>
      <c r="H20" s="11"/>
      <c r="I20" s="10"/>
    </row>
    <row r="21" spans="1:10" x14ac:dyDescent="0.25">
      <c r="H21" s="11"/>
      <c r="I21" s="10"/>
    </row>
  </sheetData>
  <mergeCells count="10">
    <mergeCell ref="B7:D7"/>
    <mergeCell ref="B8:D8"/>
    <mergeCell ref="A10:D10"/>
    <mergeCell ref="A18:C18"/>
    <mergeCell ref="A1:D1"/>
    <mergeCell ref="B2:D2"/>
    <mergeCell ref="B3:D3"/>
    <mergeCell ref="B4:D4"/>
    <mergeCell ref="B5:D5"/>
    <mergeCell ref="B6:D6"/>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4B67B-E19B-4151-8FC0-6A6367422F11}">
  <dimension ref="A2:D14"/>
  <sheetViews>
    <sheetView workbookViewId="0">
      <selection activeCell="B15" sqref="B15"/>
    </sheetView>
  </sheetViews>
  <sheetFormatPr defaultRowHeight="15" x14ac:dyDescent="0.25"/>
  <cols>
    <col min="1" max="1" width="40.85546875" bestFit="1" customWidth="1"/>
    <col min="2" max="2" width="27.7109375" customWidth="1"/>
  </cols>
  <sheetData>
    <row r="2" spans="1:4" x14ac:dyDescent="0.25">
      <c r="A2" t="s">
        <v>23</v>
      </c>
      <c r="B2" t="s">
        <v>46</v>
      </c>
      <c r="C2" t="s">
        <v>193</v>
      </c>
      <c r="D2" t="s">
        <v>36</v>
      </c>
    </row>
    <row r="3" spans="1:4" x14ac:dyDescent="0.25">
      <c r="A3" t="s">
        <v>59</v>
      </c>
      <c r="B3" t="s">
        <v>194</v>
      </c>
      <c r="C3" t="s">
        <v>195</v>
      </c>
      <c r="D3" t="s">
        <v>28</v>
      </c>
    </row>
    <row r="4" spans="1:4" x14ac:dyDescent="0.25">
      <c r="B4" t="s">
        <v>196</v>
      </c>
      <c r="C4" t="s">
        <v>197</v>
      </c>
      <c r="D4" t="s">
        <v>32</v>
      </c>
    </row>
    <row r="5" spans="1:4" x14ac:dyDescent="0.25">
      <c r="B5" t="s">
        <v>198</v>
      </c>
    </row>
    <row r="6" spans="1:4" x14ac:dyDescent="0.25">
      <c r="B6" t="s">
        <v>52</v>
      </c>
    </row>
    <row r="7" spans="1:4" x14ac:dyDescent="0.25">
      <c r="B7" t="s">
        <v>38</v>
      </c>
    </row>
    <row r="8" spans="1:4" x14ac:dyDescent="0.25">
      <c r="B8" t="s">
        <v>34</v>
      </c>
    </row>
    <row r="9" spans="1:4" x14ac:dyDescent="0.25">
      <c r="B9" t="s">
        <v>24</v>
      </c>
    </row>
    <row r="10" spans="1:4" x14ac:dyDescent="0.25">
      <c r="B10" t="s">
        <v>199</v>
      </c>
    </row>
    <row r="11" spans="1:4" x14ac:dyDescent="0.25">
      <c r="B11" t="s">
        <v>200</v>
      </c>
    </row>
    <row r="12" spans="1:4" x14ac:dyDescent="0.25">
      <c r="B12" t="s">
        <v>68</v>
      </c>
    </row>
    <row r="13" spans="1:4" x14ac:dyDescent="0.25">
      <c r="B13" t="s">
        <v>201</v>
      </c>
    </row>
    <row r="14" spans="1:4" x14ac:dyDescent="0.25">
      <c r="B14" t="s">
        <v>60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6AFF9-FC19-4D5E-BDFD-207160AEE4C0}">
  <dimension ref="A1"/>
  <sheetViews>
    <sheetView workbookViewId="0"/>
  </sheetViews>
  <sheetFormatPr defaultRowHeight="15" x14ac:dyDescent="0.25"/>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9740D-982B-4854-B883-200F4EBC914D}">
  <dimension ref="A1:J21"/>
  <sheetViews>
    <sheetView workbookViewId="0">
      <selection sqref="A1:D1"/>
    </sheetView>
  </sheetViews>
  <sheetFormatPr defaultRowHeight="15" x14ac:dyDescent="0.25"/>
  <cols>
    <col min="1" max="1" width="23" customWidth="1"/>
    <col min="2" max="2" width="13" customWidth="1"/>
    <col min="3" max="3" width="16.5703125" customWidth="1"/>
    <col min="4" max="4" width="51.5703125" customWidth="1"/>
    <col min="7" max="7" width="9.140625" customWidth="1"/>
    <col min="8" max="8" width="17.42578125" customWidth="1"/>
    <col min="9" max="9" width="16.85546875" customWidth="1"/>
    <col min="10" max="10" width="9.140625" customWidth="1"/>
  </cols>
  <sheetData>
    <row r="1" spans="1:10" ht="15.75" x14ac:dyDescent="0.25">
      <c r="A1" s="150" t="s">
        <v>73</v>
      </c>
      <c r="B1" s="151"/>
      <c r="C1" s="151"/>
      <c r="D1" s="151"/>
    </row>
    <row r="2" spans="1:10" ht="15.75" x14ac:dyDescent="0.25">
      <c r="A2" s="37" t="s">
        <v>74</v>
      </c>
      <c r="B2" s="152"/>
      <c r="C2" s="153"/>
      <c r="D2" s="154"/>
    </row>
    <row r="3" spans="1:10" ht="15.75" x14ac:dyDescent="0.25">
      <c r="A3" s="37" t="s">
        <v>75</v>
      </c>
      <c r="B3" s="152"/>
      <c r="C3" s="153"/>
      <c r="D3" s="154"/>
    </row>
    <row r="4" spans="1:10" ht="21.75" customHeight="1" x14ac:dyDescent="0.25">
      <c r="A4" s="33" t="s">
        <v>76</v>
      </c>
      <c r="B4" s="177"/>
      <c r="C4" s="178"/>
      <c r="D4" s="179"/>
    </row>
    <row r="5" spans="1:10" s="32" customFormat="1" ht="60" x14ac:dyDescent="0.25">
      <c r="A5" s="34" t="s">
        <v>78</v>
      </c>
      <c r="B5" s="174"/>
      <c r="C5" s="175"/>
      <c r="D5" s="176"/>
    </row>
    <row r="6" spans="1:10" s="32" customFormat="1" ht="120" x14ac:dyDescent="0.25">
      <c r="A6" s="34" t="s">
        <v>80</v>
      </c>
      <c r="B6" s="174"/>
      <c r="C6" s="175"/>
      <c r="D6" s="176"/>
    </row>
    <row r="7" spans="1:10" s="32" customFormat="1" ht="30" x14ac:dyDescent="0.25">
      <c r="A7" s="34" t="s">
        <v>82</v>
      </c>
      <c r="B7" s="174"/>
      <c r="C7" s="175"/>
      <c r="D7" s="176"/>
    </row>
    <row r="8" spans="1:10" s="32" customFormat="1" ht="105" x14ac:dyDescent="0.25">
      <c r="A8" s="34" t="s">
        <v>84</v>
      </c>
      <c r="B8" s="174"/>
      <c r="C8" s="175"/>
      <c r="D8" s="176"/>
    </row>
    <row r="9" spans="1:10" x14ac:dyDescent="0.25">
      <c r="A9" s="3"/>
      <c r="B9" s="2"/>
      <c r="C9" s="2"/>
      <c r="D9" s="2"/>
    </row>
    <row r="10" spans="1:10" x14ac:dyDescent="0.25">
      <c r="A10" s="148" t="s">
        <v>85</v>
      </c>
      <c r="B10" s="149"/>
      <c r="C10" s="149"/>
      <c r="D10" s="149"/>
    </row>
    <row r="11" spans="1:10" x14ac:dyDescent="0.25">
      <c r="A11" s="27" t="s">
        <v>86</v>
      </c>
      <c r="B11" s="28" t="s">
        <v>87</v>
      </c>
      <c r="C11" s="28" t="s">
        <v>88</v>
      </c>
      <c r="D11" s="30" t="s">
        <v>89</v>
      </c>
    </row>
    <row r="12" spans="1:10" x14ac:dyDescent="0.25">
      <c r="A12" s="31"/>
      <c r="B12" s="29"/>
      <c r="C12" s="29"/>
      <c r="D12" s="6">
        <f t="shared" ref="D12:D14" si="0">B12*C12</f>
        <v>0</v>
      </c>
    </row>
    <row r="13" spans="1:10" x14ac:dyDescent="0.25">
      <c r="A13" s="31"/>
      <c r="B13" s="29"/>
      <c r="C13" s="29"/>
      <c r="D13" s="6">
        <f t="shared" si="0"/>
        <v>0</v>
      </c>
    </row>
    <row r="14" spans="1:10" x14ac:dyDescent="0.25">
      <c r="A14" s="31"/>
      <c r="B14" s="29"/>
      <c r="C14" s="29"/>
      <c r="D14" s="6">
        <f t="shared" si="0"/>
        <v>0</v>
      </c>
    </row>
    <row r="15" spans="1:10" x14ac:dyDescent="0.25">
      <c r="A15" s="12"/>
      <c r="B15" s="13"/>
      <c r="C15" s="14"/>
      <c r="D15" s="6">
        <f>B15*C15</f>
        <v>0</v>
      </c>
      <c r="H15" s="9"/>
      <c r="I15" s="10"/>
      <c r="J15" s="10"/>
    </row>
    <row r="16" spans="1:10" x14ac:dyDescent="0.25">
      <c r="A16" s="12"/>
      <c r="B16" s="13"/>
      <c r="C16" s="15"/>
      <c r="D16" s="6">
        <f>B16*C16</f>
        <v>0</v>
      </c>
      <c r="H16" s="9"/>
      <c r="I16" s="10"/>
      <c r="J16" s="10"/>
    </row>
    <row r="17" spans="1:10" x14ac:dyDescent="0.25">
      <c r="A17" s="12"/>
      <c r="B17" s="13"/>
      <c r="C17" s="16"/>
      <c r="D17" s="6">
        <f>B17*C17</f>
        <v>0</v>
      </c>
      <c r="H17" s="9"/>
      <c r="I17" s="10"/>
      <c r="J17" s="10"/>
    </row>
    <row r="18" spans="1:10" ht="15.75" thickBot="1" x14ac:dyDescent="0.3">
      <c r="A18" s="142" t="s">
        <v>96</v>
      </c>
      <c r="B18" s="143"/>
      <c r="C18" s="144"/>
      <c r="D18" s="5">
        <f>SUM(D12:D17)</f>
        <v>0</v>
      </c>
      <c r="H18" s="11"/>
      <c r="I18" s="10"/>
    </row>
    <row r="19" spans="1:10" x14ac:dyDescent="0.25">
      <c r="H19" s="11"/>
      <c r="I19" s="10"/>
    </row>
    <row r="20" spans="1:10" x14ac:dyDescent="0.25">
      <c r="A20" s="24"/>
      <c r="B20" s="10"/>
      <c r="H20" s="11"/>
      <c r="I20" s="10"/>
    </row>
    <row r="21" spans="1:10" x14ac:dyDescent="0.25">
      <c r="H21" s="11"/>
      <c r="I21" s="10"/>
    </row>
  </sheetData>
  <mergeCells count="10">
    <mergeCell ref="A18:C18"/>
    <mergeCell ref="A1:D1"/>
    <mergeCell ref="B4:D4"/>
    <mergeCell ref="A10:D10"/>
    <mergeCell ref="B5:D5"/>
    <mergeCell ref="B6:D6"/>
    <mergeCell ref="B7:D7"/>
    <mergeCell ref="B2:D2"/>
    <mergeCell ref="B3:D3"/>
    <mergeCell ref="B8:D8"/>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1B052B26-8609-45F5-93B9-EC842C7A211D}">
          <x14:formula1>
            <xm:f>Lists!$A$2:$A$3</xm:f>
          </x14:formula1>
          <xm:sqref>B2:D2</xm:sqref>
        </x14:dataValidation>
        <x14:dataValidation type="list" allowBlank="1" showInputMessage="1" showErrorMessage="1" xr:uid="{82EDE724-90CC-4910-AEBE-1AC47C5DC930}">
          <x14:formula1>
            <xm:f>Lists!$B$2:$B$14</xm:f>
          </x14:formula1>
          <xm:sqref>B3:D3</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1320F-FA6A-40C2-A835-62A61210C7DE}">
  <dimension ref="A3:B8"/>
  <sheetViews>
    <sheetView workbookViewId="0">
      <selection activeCell="A3" sqref="A3"/>
    </sheetView>
  </sheetViews>
  <sheetFormatPr defaultRowHeight="15" x14ac:dyDescent="0.25"/>
  <cols>
    <col min="1" max="1" width="13.42578125" bestFit="1" customWidth="1"/>
    <col min="2" max="2" width="23.5703125" bestFit="1" customWidth="1"/>
  </cols>
  <sheetData>
    <row r="3" spans="1:2" x14ac:dyDescent="0.25">
      <c r="A3" s="133" t="s">
        <v>16</v>
      </c>
      <c r="B3" t="s">
        <v>202</v>
      </c>
    </row>
    <row r="4" spans="1:2" x14ac:dyDescent="0.25">
      <c r="A4" t="s">
        <v>26</v>
      </c>
      <c r="B4">
        <v>1544731.46</v>
      </c>
    </row>
    <row r="5" spans="1:2" x14ac:dyDescent="0.25">
      <c r="A5" t="s">
        <v>49</v>
      </c>
      <c r="B5">
        <v>182928</v>
      </c>
    </row>
    <row r="6" spans="1:2" x14ac:dyDescent="0.25">
      <c r="A6" t="s">
        <v>67</v>
      </c>
      <c r="B6">
        <v>74100</v>
      </c>
    </row>
    <row r="7" spans="1:2" x14ac:dyDescent="0.25">
      <c r="A7" t="s">
        <v>51</v>
      </c>
      <c r="B7">
        <v>21524</v>
      </c>
    </row>
    <row r="8" spans="1:2" x14ac:dyDescent="0.25">
      <c r="A8" t="s">
        <v>203</v>
      </c>
      <c r="B8">
        <v>1823283.46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Mercury Document" ma:contentTypeID="0x010100FB2137FC7D2ADD4C886BC310886FA25F007FFC96A364649F4A9B4179944B7D429C" ma:contentTypeVersion="228" ma:contentTypeDescription="" ma:contentTypeScope="" ma:versionID="3360abbebf84981a3f6a32f329096684">
  <xsd:schema xmlns:xsd="http://www.w3.org/2001/XMLSchema" xmlns:xs="http://www.w3.org/2001/XMLSchema" xmlns:p="http://schemas.microsoft.com/office/2006/metadata/properties" xmlns:ns1="http://schemas.microsoft.com/sharepoint/v3" xmlns:ns2="b1ee4e52-7a28-4c60-a8a0-052f4ae790bb" xmlns:ns4="73fb875a-8af9-4255-b008-0995492d31cd" xmlns:ns5="39d03957-c784-454d-bf0e-534632b63dd1" xmlns:ns6="afd34bf4-fd00-4610-bc95-26e043bb1fb0" targetNamespace="http://schemas.microsoft.com/office/2006/metadata/properties" ma:root="true" ma:fieldsID="25ea7dd56355fc8a1efba5f1b21462a3" ns1:_="" ns2:_="" ns4:_="" ns5:_="" ns6:_="">
    <xsd:import namespace="http://schemas.microsoft.com/sharepoint/v3"/>
    <xsd:import namespace="b1ee4e52-7a28-4c60-a8a0-052f4ae790bb"/>
    <xsd:import namespace="73fb875a-8af9-4255-b008-0995492d31cd"/>
    <xsd:import namespace="39d03957-c784-454d-bf0e-534632b63dd1"/>
    <xsd:import namespace="afd34bf4-fd00-4610-bc95-26e043bb1fb0"/>
    <xsd:element name="properties">
      <xsd:complexType>
        <xsd:sequence>
          <xsd:element name="documentManagement">
            <xsd:complexType>
              <xsd:all>
                <xsd:element ref="ns2:Signature1Title" minOccurs="0"/>
                <xsd:element ref="ns2:Signature2Name" minOccurs="0"/>
                <xsd:element ref="ns2:Signature2Title" minOccurs="0"/>
                <xsd:element ref="ns2:Signature1Name" minOccurs="0"/>
                <xsd:element ref="ns2:ThroughName" minOccurs="0"/>
                <xsd:element ref="ns2:ThroughTitle" minOccurs="0"/>
                <xsd:element ref="ns2:FromName" minOccurs="0"/>
                <xsd:element ref="ns2:FromTitle" minOccurs="0"/>
                <xsd:element ref="ns4:TaxCatchAll" minOccurs="0"/>
                <xsd:element ref="ns4:TaxCatchAllLabel" minOccurs="0"/>
                <xsd:element ref="ns2:OrgAddress1" minOccurs="0"/>
                <xsd:element ref="ns2:OrgAddress2" minOccurs="0"/>
                <xsd:element ref="ns2:OrgCity" minOccurs="0"/>
                <xsd:element ref="ns2:OrgState" minOccurs="0"/>
                <xsd:element ref="ns2:Organization_x0020_Zip_x0020_Code" minOccurs="0"/>
                <xsd:element ref="ns2:OrgTDDPhone" minOccurs="0"/>
                <xsd:element ref="ns2:ParentOrganization" minOccurs="0"/>
                <xsd:element ref="ns2:Physical_x0020_Address" minOccurs="0"/>
                <xsd:element ref="ns2:Recipient_x0020_Name" minOccurs="0"/>
                <xsd:element ref="ns2:Recipient_x0020_Title" minOccurs="0"/>
                <xsd:element ref="ns2:OrgPhone" minOccurs="0"/>
                <xsd:element ref="ns2:PackageID" minOccurs="0"/>
                <xsd:element ref="ns2:OrganizationDisplayName" minOccurs="0"/>
                <xsd:element ref="ns2:OrganizationURL" minOccurs="0"/>
                <xsd:element ref="ns2:Organization_x0020_Fax" minOccurs="0"/>
                <xsd:element ref="ns2:CC" minOccurs="0"/>
                <xsd:element ref="ns2:ReplyDueDate" minOccurs="0"/>
                <xsd:element ref="ns2:ReplyDueText" minOccurs="0"/>
                <xsd:element ref="ns2:Signature1Image" minOccurs="0"/>
                <xsd:element ref="ns2:Signature2Image" minOccurs="0"/>
                <xsd:element ref="ns5:_dlc_DocId" minOccurs="0"/>
                <xsd:element ref="ns5:_dlc_DocIdUrl" minOccurs="0"/>
                <xsd:element ref="ns2:SignatoryDate" minOccurs="0"/>
                <xsd:element ref="ns5:_dlc_DocIdPersistId" minOccurs="0"/>
                <xsd:element ref="ns2:TemplateFileCodes" minOccurs="0"/>
                <xsd:element ref="ns2:lda6edd764eb4f61bc2704c5745cea6b" minOccurs="0"/>
                <xsd:element ref="ns2:f5472597c9604623a551492cb483270e" minOccurs="0"/>
                <xsd:element ref="ns2:n429daeaf8a040c083604614d3f047b7" minOccurs="0"/>
                <xsd:element ref="ns2:SharedWithUsers" minOccurs="0"/>
                <xsd:element ref="ns2:SharedWithDetails" minOccurs="0"/>
                <xsd:element ref="ns6:MediaServiceAutoTags" minOccurs="0"/>
                <xsd:element ref="ns6:MediaServiceOCR" minOccurs="0"/>
                <xsd:element ref="ns6:MediaServiceDateTaken" minOccurs="0"/>
                <xsd:element ref="ns6:MediaServiceLocation" minOccurs="0"/>
                <xsd:element ref="ns6:MediaServiceGenerationTime" minOccurs="0"/>
                <xsd:element ref="ns6:MediaServiceEventHashCode" minOccurs="0"/>
                <xsd:element ref="ns1:_dlc_Exempt" minOccurs="0"/>
                <xsd:element ref="ns1:_dlc_ExpireDateSaved" minOccurs="0"/>
                <xsd:element ref="ns1:_dlc_ExpireDate" minOccurs="0"/>
                <xsd:element ref="ns1:_ip_UnifiedCompliancePolicyProperties" minOccurs="0"/>
                <xsd:element ref="ns1:_ip_UnifiedCompliancePolicyUIAction" minOccurs="0"/>
                <xsd:element ref="ns6: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61" nillable="true" ma:displayName="Exempt from Policy" ma:hidden="true" ma:internalName="_dlc_Exempt" ma:readOnly="true">
      <xsd:simpleType>
        <xsd:restriction base="dms:Unknown"/>
      </xsd:simpleType>
    </xsd:element>
    <xsd:element name="_dlc_ExpireDateSaved" ma:index="62" nillable="true" ma:displayName="Original Expiration Date" ma:hidden="true" ma:internalName="_dlc_ExpireDateSaved" ma:readOnly="true">
      <xsd:simpleType>
        <xsd:restriction base="dms:DateTime"/>
      </xsd:simpleType>
    </xsd:element>
    <xsd:element name="_dlc_ExpireDate" ma:index="63" nillable="true" ma:displayName="Expiration Date" ma:description="" ma:hidden="true" ma:indexed="true" ma:internalName="_dlc_ExpireDate" ma:readOnly="true">
      <xsd:simpleType>
        <xsd:restriction base="dms:DateTime"/>
      </xsd:simpleType>
    </xsd:element>
    <xsd:element name="_ip_UnifiedCompliancePolicyProperties" ma:index="64" nillable="true" ma:displayName="Unified Compliance Policy Properties" ma:hidden="true" ma:internalName="_ip_UnifiedCompliancePolicyProperties">
      <xsd:simpleType>
        <xsd:restriction base="dms:Note"/>
      </xsd:simpleType>
    </xsd:element>
    <xsd:element name="_ip_UnifiedCompliancePolicyUIAction" ma:index="6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1ee4e52-7a28-4c60-a8a0-052f4ae790bb" elementFormDefault="qualified">
    <xsd:import namespace="http://schemas.microsoft.com/office/2006/documentManagement/types"/>
    <xsd:import namespace="http://schemas.microsoft.com/office/infopath/2007/PartnerControls"/>
    <xsd:element name="Signature1Title" ma:index="2" nillable="true" ma:displayName="Signature1Title" ma:internalName="Signature1Title" ma:readOnly="false">
      <xsd:simpleType>
        <xsd:restriction base="dms:Text">
          <xsd:maxLength value="255"/>
        </xsd:restriction>
      </xsd:simpleType>
    </xsd:element>
    <xsd:element name="Signature2Name" ma:index="3" nillable="true" ma:displayName="Signature2Name" ma:internalName="Signature2Name" ma:readOnly="false">
      <xsd:simpleType>
        <xsd:restriction base="dms:Text">
          <xsd:maxLength value="255"/>
        </xsd:restriction>
      </xsd:simpleType>
    </xsd:element>
    <xsd:element name="Signature2Title" ma:index="4" nillable="true" ma:displayName="Signature2Title" ma:internalName="Signature2Title" ma:readOnly="false">
      <xsd:simpleType>
        <xsd:restriction base="dms:Text">
          <xsd:maxLength value="255"/>
        </xsd:restriction>
      </xsd:simpleType>
    </xsd:element>
    <xsd:element name="Signature1Name" ma:index="5" nillable="true" ma:displayName="Signature1Name" ma:internalName="Signature1Name" ma:readOnly="false">
      <xsd:simpleType>
        <xsd:restriction base="dms:Text">
          <xsd:maxLength value="255"/>
        </xsd:restriction>
      </xsd:simpleType>
    </xsd:element>
    <xsd:element name="ThroughName" ma:index="6" nillable="true" ma:displayName="Through Name" ma:description="Through name: Optional. Name of the person receiving the completed correspondence." ma:internalName="ThroughName" ma:readOnly="false">
      <xsd:simpleType>
        <xsd:restriction base="dms:Text">
          <xsd:maxLength value="255"/>
        </xsd:restriction>
      </xsd:simpleType>
    </xsd:element>
    <xsd:element name="ThroughTitle" ma:index="7" nillable="true" ma:displayName="Through Title" ma:description="Through Title: Optional. Title of the person receiving the completed correspondence." ma:internalName="ThroughTitle" ma:readOnly="false">
      <xsd:simpleType>
        <xsd:restriction base="dms:Text">
          <xsd:maxLength value="255"/>
        </xsd:restriction>
      </xsd:simpleType>
    </xsd:element>
    <xsd:element name="FromName" ma:index="9" nillable="true" ma:displayName="From Name" ma:description="From Name: Required. Enter name of the person signing the completed correspondence." ma:internalName="FromName" ma:readOnly="false">
      <xsd:simpleType>
        <xsd:restriction base="dms:Text">
          <xsd:maxLength value="255"/>
        </xsd:restriction>
      </xsd:simpleType>
    </xsd:element>
    <xsd:element name="FromTitle" ma:index="10" nillable="true" ma:displayName="From Title" ma:description="From Title: Optional. Title of the person signing the completed correspondence." ma:internalName="FromTitle" ma:readOnly="false">
      <xsd:simpleType>
        <xsd:restriction base="dms:Text">
          <xsd:maxLength value="255"/>
        </xsd:restriction>
      </xsd:simpleType>
    </xsd:element>
    <xsd:element name="OrgAddress1" ma:index="14" nillable="true" ma:displayName="Organization Address 1" ma:internalName="OrgAddress1" ma:readOnly="false">
      <xsd:simpleType>
        <xsd:restriction base="dms:Text">
          <xsd:maxLength value="255"/>
        </xsd:restriction>
      </xsd:simpleType>
    </xsd:element>
    <xsd:element name="OrgAddress2" ma:index="15" nillable="true" ma:displayName="Organization Address 2" ma:internalName="OrgAddress2" ma:readOnly="false">
      <xsd:simpleType>
        <xsd:restriction base="dms:Text">
          <xsd:maxLength value="255"/>
        </xsd:restriction>
      </xsd:simpleType>
    </xsd:element>
    <xsd:element name="OrgCity" ma:index="16" nillable="true" ma:displayName="Organization City" ma:internalName="OrgCity" ma:readOnly="false">
      <xsd:simpleType>
        <xsd:restriction base="dms:Text">
          <xsd:maxLength value="255"/>
        </xsd:restriction>
      </xsd:simpleType>
    </xsd:element>
    <xsd:element name="OrgState" ma:index="17" nillable="true" ma:displayName="Organization State" ma:internalName="OrgState" ma:readOnly="false">
      <xsd:simpleType>
        <xsd:restriction base="dms:Text">
          <xsd:maxLength value="255"/>
        </xsd:restriction>
      </xsd:simpleType>
    </xsd:element>
    <xsd:element name="Organization_x0020_Zip_x0020_Code" ma:index="18" nillable="true" ma:displayName="Organization Zip Code" ma:internalName="Organization_x0020_Zip_x0020_Code" ma:readOnly="false">
      <xsd:simpleType>
        <xsd:restriction base="dms:Text">
          <xsd:maxLength value="255"/>
        </xsd:restriction>
      </xsd:simpleType>
    </xsd:element>
    <xsd:element name="OrgTDDPhone" ma:index="19" nillable="true" ma:displayName="Organization TDD Phone" ma:internalName="OrgTDDPhone" ma:readOnly="false">
      <xsd:simpleType>
        <xsd:restriction base="dms:Text">
          <xsd:maxLength value="255"/>
        </xsd:restriction>
      </xsd:simpleType>
    </xsd:element>
    <xsd:element name="ParentOrganization" ma:index="20" nillable="true" ma:displayName="ParentOrganization" ma:internalName="ParentOrganization" ma:readOnly="false">
      <xsd:simpleType>
        <xsd:restriction base="dms:Text">
          <xsd:maxLength value="255"/>
        </xsd:restriction>
      </xsd:simpleType>
    </xsd:element>
    <xsd:element name="Physical_x0020_Address" ma:index="21" nillable="true" ma:displayName="Physical Address" ma:description="Physical Address: Optional. Enter the address to which physical correspondence will be sent." ma:internalName="Physical_x0020_Address" ma:readOnly="false">
      <xsd:simpleType>
        <xsd:restriction base="dms:Note">
          <xsd:maxLength value="255"/>
        </xsd:restriction>
      </xsd:simpleType>
    </xsd:element>
    <xsd:element name="Recipient_x0020_Name" ma:index="22" nillable="true" ma:displayName="Recipient Name" ma:description="Recipient Name: Optional. Enter the name of the person receiving the completed correspondence." ma:internalName="Recipient_x0020_Name" ma:readOnly="false">
      <xsd:simpleType>
        <xsd:restriction base="dms:Text">
          <xsd:maxLength value="255"/>
        </xsd:restriction>
      </xsd:simpleType>
    </xsd:element>
    <xsd:element name="Recipient_x0020_Title" ma:index="23" nillable="true" ma:displayName="Recipient Title" ma:description="Recipient Title: Optional. Enter the title of the person receiving the completed correspondence." ma:internalName="Recipient_x0020_Title" ma:readOnly="false">
      <xsd:simpleType>
        <xsd:restriction base="dms:Text">
          <xsd:maxLength value="255"/>
        </xsd:restriction>
      </xsd:simpleType>
    </xsd:element>
    <xsd:element name="OrgPhone" ma:index="26" nillable="true" ma:displayName="Organization Primary Phone" ma:internalName="OrgPhone" ma:readOnly="false">
      <xsd:simpleType>
        <xsd:restriction base="dms:Text">
          <xsd:maxLength value="255"/>
        </xsd:restriction>
      </xsd:simpleType>
    </xsd:element>
    <xsd:element name="PackageID" ma:index="27" nillable="true" ma:displayName="PackageID" ma:decimals="0" ma:description="A sequential identifier generated by Mercury." ma:indexed="true" ma:internalName="PackageID" ma:readOnly="false" ma:percentage="FALSE">
      <xsd:simpleType>
        <xsd:restriction base="dms:Number"/>
      </xsd:simpleType>
    </xsd:element>
    <xsd:element name="OrganizationDisplayName" ma:index="28" nillable="true" ma:displayName="OrganizationDisplayName" ma:internalName="OrganizationDisplayName">
      <xsd:simpleType>
        <xsd:restriction base="dms:Text">
          <xsd:maxLength value="255"/>
        </xsd:restriction>
      </xsd:simpleType>
    </xsd:element>
    <xsd:element name="OrganizationURL" ma:index="29" nillable="true" ma:displayName="OrganizationURL" ma:format="Hyperlink" ma:internalName="OrganizationURL"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Organization_x0020_Fax" ma:index="30" nillable="true" ma:displayName="Organization Fax" ma:internalName="Organization_x0020_Fax" ma:readOnly="false">
      <xsd:simpleType>
        <xsd:restriction base="dms:Text">
          <xsd:maxLength value="255"/>
        </xsd:restriction>
      </xsd:simpleType>
    </xsd:element>
    <xsd:element name="CC" ma:index="31" nillable="true" ma:displayName="CC" ma:description="CC Address: Optional. Enter names or email addresses." ma:internalName="CC" ma:readOnly="false">
      <xsd:simpleType>
        <xsd:restriction base="dms:Text">
          <xsd:maxLength value="255"/>
        </xsd:restriction>
      </xsd:simpleType>
    </xsd:element>
    <xsd:element name="ReplyDueDate" ma:index="32" nillable="true" ma:displayName="Reply Due Date" ma:description="Reply Due Date: Optional. Enter the date a reply is expected." ma:format="DateOnly" ma:internalName="ReplyDueDate" ma:readOnly="false">
      <xsd:simpleType>
        <xsd:restriction base="dms:DateTime"/>
      </xsd:simpleType>
    </xsd:element>
    <xsd:element name="ReplyDueText" ma:index="33" nillable="true" ma:displayName="ReplyDueText" ma:internalName="ReplyDueText" ma:readOnly="false">
      <xsd:simpleType>
        <xsd:restriction base="dms:Text">
          <xsd:maxLength value="255"/>
        </xsd:restriction>
      </xsd:simpleType>
    </xsd:element>
    <xsd:element name="Signature1Image" ma:index="34" nillable="true" ma:displayName="Signature1Image" ma:internalName="Signature1Image" ma:readOnly="false">
      <xsd:simpleType>
        <xsd:restriction base="dms:Note">
          <xsd:maxLength value="255"/>
        </xsd:restriction>
      </xsd:simpleType>
    </xsd:element>
    <xsd:element name="Signature2Image" ma:index="35" nillable="true" ma:displayName="Signature2Image" ma:internalName="Signature2Image" ma:readOnly="false">
      <xsd:simpleType>
        <xsd:restriction base="dms:Note">
          <xsd:maxLength value="255"/>
        </xsd:restriction>
      </xsd:simpleType>
    </xsd:element>
    <xsd:element name="SignatoryDate" ma:index="39" nillable="true" ma:displayName="Signatory Date" ma:format="DateOnly" ma:internalName="SignatoryDate" ma:readOnly="false">
      <xsd:simpleType>
        <xsd:restriction base="dms:DateTime"/>
      </xsd:simpleType>
    </xsd:element>
    <xsd:element name="TemplateFileCodes" ma:index="41" nillable="true" ma:displayName="TemplateFileCodes" ma:internalName="TemplateFileCodes" ma:readOnly="false">
      <xsd:simpleType>
        <xsd:restriction base="dms:Text">
          <xsd:maxLength value="255"/>
        </xsd:restriction>
      </xsd:simpleType>
    </xsd:element>
    <xsd:element name="lda6edd764eb4f61bc2704c5745cea6b" ma:index="47" nillable="true" ma:taxonomy="true" ma:internalName="lda6edd764eb4f61bc2704c5745cea6b" ma:taxonomyFieldName="Organization" ma:displayName="Organization" ma:indexed="true" ma:default="" ma:fieldId="{5da6edd7-64eb-4f61-bc27-04c5745cea6b}" ma:sspId="8ff62593-b918-4deb-ac08-0d74ac0cc7e6" ma:termSetId="869a237e-8fed-4c37-8357-a176ecd58672" ma:anchorId="00000000-0000-0000-0000-000000000000" ma:open="false" ma:isKeyword="false">
      <xsd:complexType>
        <xsd:sequence>
          <xsd:element ref="pc:Terms" minOccurs="0" maxOccurs="1"/>
        </xsd:sequence>
      </xsd:complexType>
    </xsd:element>
    <xsd:element name="f5472597c9604623a551492cb483270e" ma:index="48" nillable="true" ma:taxonomy="true" ma:internalName="f5472597c9604623a551492cb483270e" ma:taxonomyFieldName="Route_x002d_To" ma:displayName="Route-To" ma:default="" ma:fieldId="{f5472597-c960-4623-a551-492cb483270e}" ma:taxonomyMulti="true" ma:sspId="8ff62593-b918-4deb-ac08-0d74ac0cc7e6" ma:termSetId="0ae2fc63-960b-4e9d-8303-7468b8609020" ma:anchorId="00000000-0000-0000-0000-000000000000" ma:open="false" ma:isKeyword="false">
      <xsd:complexType>
        <xsd:sequence>
          <xsd:element ref="pc:Terms" minOccurs="0" maxOccurs="1"/>
        </xsd:sequence>
      </xsd:complexType>
    </xsd:element>
    <xsd:element name="n429daeaf8a040c083604614d3f047b7" ma:index="49" nillable="true" ma:taxonomy="true" ma:internalName="n429daeaf8a040c083604614d3f047b7" ma:taxonomyFieldName="File_x0020_Codes" ma:displayName="File Codes" ma:default="" ma:fieldId="{7429daea-f8a0-40c0-8360-4614d3f047b7}" ma:taxonomyMulti="true" ma:sspId="8ff62593-b918-4deb-ac08-0d74ac0cc7e6" ma:termSetId="970d38ce-1be0-4126-ad2d-add6fe893f8e" ma:anchorId="00000000-0000-0000-0000-000000000000" ma:open="false" ma:isKeyword="false">
      <xsd:complexType>
        <xsd:sequence>
          <xsd:element ref="pc:Terms" minOccurs="0" maxOccurs="1"/>
        </xsd:sequence>
      </xsd:complexType>
    </xsd:element>
    <xsd:element name="SharedWithUsers" ma:index="5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5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3fb875a-8af9-4255-b008-0995492d31cd"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f3f5eff0-1c56-4a04-8683-0f3e58e4caaf}" ma:internalName="TaxCatchAll" ma:showField="CatchAllData" ma:web="39d03957-c784-454d-bf0e-534632b63dd1">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f3f5eff0-1c56-4a04-8683-0f3e58e4caaf}" ma:internalName="TaxCatchAllLabel" ma:readOnly="true" ma:showField="CatchAllDataLabel" ma:web="39d03957-c784-454d-bf0e-534632b63dd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9d03957-c784-454d-bf0e-534632b63dd1" elementFormDefault="qualified">
    <xsd:import namespace="http://schemas.microsoft.com/office/2006/documentManagement/types"/>
    <xsd:import namespace="http://schemas.microsoft.com/office/infopath/2007/PartnerControls"/>
    <xsd:element name="_dlc_DocId" ma:index="37" nillable="true" ma:displayName="Document ID Value" ma:description="The value of the document ID assigned to this item." ma:internalName="_dlc_DocId" ma:readOnly="true">
      <xsd:simpleType>
        <xsd:restriction base="dms:Text"/>
      </xsd:simpleType>
    </xsd:element>
    <xsd:element name="_dlc_DocIdUrl" ma:index="38"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4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afd34bf4-fd00-4610-bc95-26e043bb1fb0" elementFormDefault="qualified">
    <xsd:import namespace="http://schemas.microsoft.com/office/2006/documentManagement/types"/>
    <xsd:import namespace="http://schemas.microsoft.com/office/infopath/2007/PartnerControls"/>
    <xsd:element name="MediaServiceAutoTags" ma:index="55" nillable="true" ma:displayName="Tags" ma:internalName="MediaServiceAutoTags" ma:readOnly="true">
      <xsd:simpleType>
        <xsd:restriction base="dms:Text"/>
      </xsd:simpleType>
    </xsd:element>
    <xsd:element name="MediaServiceOCR" ma:index="56" nillable="true" ma:displayName="Extracted Text" ma:internalName="MediaServiceOCR" ma:readOnly="true">
      <xsd:simpleType>
        <xsd:restriction base="dms:Note">
          <xsd:maxLength value="255"/>
        </xsd:restriction>
      </xsd:simpleType>
    </xsd:element>
    <xsd:element name="MediaServiceDateTaken" ma:index="57" nillable="true" ma:displayName="MediaServiceDateTaken" ma:hidden="true" ma:internalName="MediaServiceDateTaken" ma:readOnly="true">
      <xsd:simpleType>
        <xsd:restriction base="dms:Text"/>
      </xsd:simpleType>
    </xsd:element>
    <xsd:element name="MediaServiceLocation" ma:index="58" nillable="true" ma:displayName="Location" ma:internalName="MediaServiceLocation" ma:readOnly="true">
      <xsd:simpleType>
        <xsd:restriction base="dms:Text"/>
      </xsd:simpleType>
    </xsd:element>
    <xsd:element name="MediaServiceGenerationTime" ma:index="59" nillable="true" ma:displayName="MediaServiceGenerationTime" ma:hidden="true" ma:internalName="MediaServiceGenerationTime" ma:readOnly="true">
      <xsd:simpleType>
        <xsd:restriction base="dms:Text"/>
      </xsd:simpleType>
    </xsd:element>
    <xsd:element name="MediaServiceEventHashCode" ma:index="60" nillable="true" ma:displayName="MediaServiceEventHashCode" ma:hidden="true" ma:internalName="MediaServiceEventHashCode" ma:readOnly="true">
      <xsd:simpleType>
        <xsd:restriction base="dms:Text"/>
      </xsd:simpleType>
    </xsd:element>
    <xsd:element name="lcf76f155ced4ddcb4097134ff3c332f" ma:index="67" nillable="true" ma:taxonomy="true" ma:internalName="lcf76f155ced4ddcb4097134ff3c332f" ma:taxonomyFieldName="MediaServiceImageTags" ma:displayName="Image Tags" ma:readOnly="false" ma:fieldId="{5cf76f15-5ced-4ddc-b409-7134ff3c332f}" ma:taxonomyMulti="true" ma:sspId="8ff62593-b918-4deb-ac08-0d74ac0cc7e6"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3" ma:displayName="Content Type"/>
        <xsd:element ref="dc:title" minOccurs="0" maxOccurs="1" ma:index="1" ma:displayName="Title"/>
        <xsd:element ref="dc:subject" minOccurs="0" maxOccurs="1" ma:index="8" ma:displayName="Subject"/>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ignature2Name xmlns="b1ee4e52-7a28-4c60-a8a0-052f4ae790bb" xsi:nil="true"/>
    <OrgTDDPhone xmlns="b1ee4e52-7a28-4c60-a8a0-052f4ae790bb" xsi:nil="true"/>
    <ParentOrganization xmlns="b1ee4e52-7a28-4c60-a8a0-052f4ae790bb" xsi:nil="true"/>
    <CC xmlns="b1ee4e52-7a28-4c60-a8a0-052f4ae790bb">Cara Sponaugle; David Callery; Edward Huffman; Alexandra Rozin; Mary Young; Elka Erikson; Lucas Gallegos; Mark Phillipp; ASC-Accounting Operations;</CC>
    <_ip_UnifiedCompliancePolicyUIAction xmlns="http://schemas.microsoft.com/sharepoint/v3" xsi:nil="true"/>
    <OrgCity xmlns="b1ee4e52-7a28-4c60-a8a0-052f4ae790bb">Portland</OrgCity>
    <Recipient_x0020_Title xmlns="b1ee4e52-7a28-4c60-a8a0-052f4ae790bb" xsi:nil="true"/>
    <Physical_x0020_Address xmlns="b1ee4e52-7a28-4c60-a8a0-052f4ae790bb" xsi:nil="true"/>
    <ReplyDueText xmlns="b1ee4e52-7a28-4c60-a8a0-052f4ae790bb" xsi:nil="true"/>
    <Recipient_x0020_Name xmlns="b1ee4e52-7a28-4c60-a8a0-052f4ae790bb">Forest Supervisor (Wallowa-Whitman National Forests)</Recipient_x0020_Name>
    <PackageID xmlns="b1ee4e52-7a28-4c60-a8a0-052f4ae790bb">743397</PackageID>
    <SignatoryDate xmlns="b1ee4e52-7a28-4c60-a8a0-052f4ae790bb" xsi:nil="true"/>
    <TemplateFileCodes xmlns="b1ee4e52-7a28-4c60-a8a0-052f4ae790bb">2520; 5180; 6520</TemplateFileCodes>
    <lda6edd764eb4f61bc2704c5745cea6b xmlns="b1ee4e52-7a28-4c60-a8a0-052f4ae790bb">
      <Terms xmlns="http://schemas.microsoft.com/office/infopath/2007/PartnerControls">
        <TermInfo xmlns="http://schemas.microsoft.com/office/infopath/2007/PartnerControls">
          <TermName xmlns="http://schemas.microsoft.com/office/infopath/2007/PartnerControls">Regional Office - Pacific Northwest Region</TermName>
          <TermId xmlns="http://schemas.microsoft.com/office/infopath/2007/PartnerControls">c973fb76-2c31-473c-9250-59c107854ce2</TermId>
        </TermInfo>
      </Terms>
    </lda6edd764eb4f61bc2704c5745cea6b>
    <Organization_x0020_Fax xmlns="b1ee4e52-7a28-4c60-a8a0-052f4ae790bb" xsi:nil="true"/>
    <Signature1Name xmlns="b1ee4e52-7a28-4c60-a8a0-052f4ae790bb">Glenn P. Casamassa</Signature1Name>
    <OrgPhone xmlns="b1ee4e52-7a28-4c60-a8a0-052f4ae790bb" xsi:nil="true"/>
    <ReplyDueDate xmlns="b1ee4e52-7a28-4c60-a8a0-052f4ae790bb" xsi:nil="true"/>
    <FromTitle xmlns="b1ee4e52-7a28-4c60-a8a0-052f4ae790bb" xsi:nil="true"/>
    <_ip_UnifiedCompliancePolicyProperties xmlns="http://schemas.microsoft.com/sharepoint/v3" xsi:nil="true"/>
    <FromName xmlns="b1ee4e52-7a28-4c60-a8a0-052f4ae790bb">N/A</FromName>
    <OrgAddress2 xmlns="b1ee4e52-7a28-4c60-a8a0-052f4ae790bb" xsi:nil="true"/>
    <Signature1Title xmlns="b1ee4e52-7a28-4c60-a8a0-052f4ae790bb">Regional Forester</Signature1Title>
    <OrgAddress1 xmlns="b1ee4e52-7a28-4c60-a8a0-052f4ae790bb">1220 SW Third Avenue</OrgAddress1>
    <Signature2Image xmlns="b1ee4e52-7a28-4c60-a8a0-052f4ae790bb" xsi:nil="true"/>
    <lcf76f155ced4ddcb4097134ff3c332f xmlns="afd34bf4-fd00-4610-bc95-26e043bb1fb0">
      <Terms xmlns="http://schemas.microsoft.com/office/infopath/2007/PartnerControls"/>
    </lcf76f155ced4ddcb4097134ff3c332f>
    <OrganizationDisplayName xmlns="b1ee4e52-7a28-4c60-a8a0-052f4ae790bb">Pacific Northwest Region</OrganizationDisplayName>
    <ThroughTitle xmlns="b1ee4e52-7a28-4c60-a8a0-052f4ae790bb" xsi:nil="true"/>
    <OrganizationURL xmlns="b1ee4e52-7a28-4c60-a8a0-052f4ae790bb">
      <Url xsi:nil="true"/>
      <Description xsi:nil="true"/>
    </OrganizationURL>
    <n429daeaf8a040c083604614d3f047b7 xmlns="b1ee4e52-7a28-4c60-a8a0-052f4ae790bb">
      <Terms xmlns="http://schemas.microsoft.com/office/infopath/2007/PartnerControls">
        <TermInfo xmlns="http://schemas.microsoft.com/office/infopath/2007/PartnerControls">
          <TermName xmlns="http://schemas.microsoft.com/office/infopath/2007/PartnerControls">2520 - Burned Area Emergency Response</TermName>
          <TermId xmlns="http://schemas.microsoft.com/office/infopath/2007/PartnerControls">b4e75818-0ac9-41d7-bcf6-bf460a0a9bdd</TermId>
        </TermInfo>
        <TermInfo xmlns="http://schemas.microsoft.com/office/infopath/2007/PartnerControls">
          <TermName xmlns="http://schemas.microsoft.com/office/infopath/2007/PartnerControls">5180 - Fire Incident History File</TermName>
          <TermId xmlns="http://schemas.microsoft.com/office/infopath/2007/PartnerControls">bc73dfa2-8cbe-4add-95bb-65da55ae0e79</TermId>
        </TermInfo>
        <TermInfo xmlns="http://schemas.microsoft.com/office/infopath/2007/PartnerControls">
          <TermName xmlns="http://schemas.microsoft.com/office/infopath/2007/PartnerControls">6520 - Financial Management Program Administration</TermName>
          <TermId xmlns="http://schemas.microsoft.com/office/infopath/2007/PartnerControls">816360e0-bee2-4bd7-b40d-98dcb0ce1d95</TermId>
        </TermInfo>
      </Terms>
    </n429daeaf8a040c083604614d3f047b7>
    <ThroughName xmlns="b1ee4e52-7a28-4c60-a8a0-052f4ae790bb" xsi:nil="true"/>
    <Signature2Title xmlns="b1ee4e52-7a28-4c60-a8a0-052f4ae790bb" xsi:nil="true"/>
    <OrgState xmlns="b1ee4e52-7a28-4c60-a8a0-052f4ae790bb">OR</OrgState>
    <Organization_x0020_Zip_x0020_Code xmlns="b1ee4e52-7a28-4c60-a8a0-052f4ae790bb">97204</Organization_x0020_Zip_x0020_Code>
    <Signature1Image xmlns="b1ee4e52-7a28-4c60-a8a0-052f4ae790bb" xsi:nil="true"/>
    <f5472597c9604623a551492cb483270e xmlns="b1ee4e52-7a28-4c60-a8a0-052f4ae790bb">
      <Terms xmlns="http://schemas.microsoft.com/office/infopath/2007/PartnerControls"/>
    </f5472597c9604623a551492cb483270e>
    <TaxCatchAll xmlns="73fb875a-8af9-4255-b008-0995492d31cd">
      <Value>1055</Value>
      <Value>1069</Value>
      <Value>920</Value>
      <Value>701</Value>
    </TaxCatchAll>
    <_dlc_DocId xmlns="39d03957-c784-454d-bf0e-534632b63dd1">YNURSQCXHYUA-1762000756-743404</_dlc_DocId>
    <_dlc_DocIdUrl xmlns="39d03957-c784-454d-bf0e-534632b63dd1">
      <Url>https://usdagcc.sharepoint.com/sites/FS-WO-CSA1/Mercury/_layouts/15/DocIdRedir.aspx?ID=YNURSQCXHYUA-1762000756-743404</Url>
      <Description>YNURSQCXHYUA-1762000756-743404</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3888BC79-0C23-4D81-B88B-39EDCE6D15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1ee4e52-7a28-4c60-a8a0-052f4ae790bb"/>
    <ds:schemaRef ds:uri="73fb875a-8af9-4255-b008-0995492d31cd"/>
    <ds:schemaRef ds:uri="39d03957-c784-454d-bf0e-534632b63dd1"/>
    <ds:schemaRef ds:uri="afd34bf4-fd00-4610-bc95-26e043bb1f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D8C42C2-444C-4DAB-9B5B-3B7892EEEA20}">
  <ds:schemaRefs>
    <ds:schemaRef ds:uri="http://schemas.microsoft.com/office/2006/metadata/properties"/>
    <ds:schemaRef ds:uri="http://schemas.microsoft.com/office/infopath/2007/PartnerControls"/>
    <ds:schemaRef ds:uri="b1ee4e52-7a28-4c60-a8a0-052f4ae790bb"/>
    <ds:schemaRef ds:uri="http://schemas.microsoft.com/sharepoint/v3"/>
    <ds:schemaRef ds:uri="afd34bf4-fd00-4610-bc95-26e043bb1fb0"/>
    <ds:schemaRef ds:uri="73fb875a-8af9-4255-b008-0995492d31cd"/>
    <ds:schemaRef ds:uri="39d03957-c784-454d-bf0e-534632b63dd1"/>
  </ds:schemaRefs>
</ds:datastoreItem>
</file>

<file path=customXml/itemProps3.xml><?xml version="1.0" encoding="utf-8"?>
<ds:datastoreItem xmlns:ds="http://schemas.openxmlformats.org/officeDocument/2006/customXml" ds:itemID="{381BC24A-AA04-4102-81CD-5EFD88099C12}">
  <ds:schemaRefs>
    <ds:schemaRef ds:uri="http://schemas.microsoft.com/sharepoint/v3/contenttype/forms"/>
  </ds:schemaRefs>
</ds:datastoreItem>
</file>

<file path=customXml/itemProps4.xml><?xml version="1.0" encoding="utf-8"?>
<ds:datastoreItem xmlns:ds="http://schemas.openxmlformats.org/officeDocument/2006/customXml" ds:itemID="{F4F8C002-CC49-434C-A9E4-E4467606B342}">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RequestSummary</vt:lpstr>
      <vt:lpstr>Memaloose Admin Horse Pasture F</vt:lpstr>
      <vt:lpstr>Granny View Boundary Fence</vt:lpstr>
      <vt:lpstr>Ecology Plot Fence</vt:lpstr>
      <vt:lpstr>Pasture fence 50% costshare</vt:lpstr>
      <vt:lpstr>Burned Buildings Cleanup High</vt:lpstr>
      <vt:lpstr>Burned Buildings Cleanup Low</vt:lpstr>
      <vt:lpstr>Double Creek Rec Site Repairs</vt:lpstr>
      <vt:lpstr>Double Creek Signs</vt:lpstr>
      <vt:lpstr>Nebo Signs</vt:lpstr>
      <vt:lpstr>Sturgill Signs</vt:lpstr>
      <vt:lpstr>Double Creek Trail Repair</vt:lpstr>
      <vt:lpstr>Double Creek Trail Boardwalks</vt:lpstr>
      <vt:lpstr>Nebo Trail Repair</vt:lpstr>
      <vt:lpstr>Nebo Trail Bridges</vt:lpstr>
      <vt:lpstr>Sturgill Trail Repair</vt:lpstr>
      <vt:lpstr>InvPlant_Protect_Double</vt:lpstr>
      <vt:lpstr>InvPlant_Suppression_Double</vt:lpstr>
      <vt:lpstr>InvPlant_Suppression_Nebo</vt:lpstr>
      <vt:lpstr>InvPlant_Suppression_Sturgil</vt:lpstr>
      <vt:lpstr>DoubleCreek_Seeding</vt:lpstr>
      <vt:lpstr>Nebo_Seeding</vt:lpstr>
      <vt:lpstr>Sturgil_Seeding</vt:lpstr>
      <vt:lpstr>Lists</vt:lpstr>
      <vt:lpstr>Sheet1</vt:lpstr>
      <vt:lpstr>ProjectActivityInformation</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Nebo Fire Burned Area Emergency Response Interim Funding Request Authorization</dc:subject>
  <dc:creator>Tai, Leah - FS</dc:creator>
  <cp:keywords/>
  <dc:description/>
  <cp:lastModifiedBy>Farr, Cara L -FS</cp:lastModifiedBy>
  <cp:revision/>
  <dcterms:created xsi:type="dcterms:W3CDTF">2020-11-24T22:40:11Z</dcterms:created>
  <dcterms:modified xsi:type="dcterms:W3CDTF">2023-08-04T20:32:55Z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0x010100FB2137FC7D2ADD4C886BC310886FA25F007FFC96A364649F4A9B4179944B7D429C</vt:lpwstr>
  </property>
  <property fmtid="{D5CDD505-2E9C-101B-9397-08002B2CF9AE}" pid="3" name="File Codes">
    <vt:lpwstr>920;#2520 - Burned Area Emergency Response|b4e75818-0ac9-41d7-bcf6-bf460a0a9bdd;#1055;#5180 - Fire Incident History File|bc73dfa2-8cbe-4add-95bb-65da55ae0e79;#1069;#6520 - Financial Management Program Administration|816360e0-bee2-4bd7-b40d-98dcb0ce1d95</vt:lpwstr>
  </property>
  <property fmtid="{D5CDD505-2E9C-101B-9397-08002B2CF9AE}" pid="4" name="Organization">
    <vt:lpwstr>701;#Regional Office - Pacific Northwest Region|c973fb76-2c31-473c-9250-59c107854ce2</vt:lpwstr>
  </property>
  <property fmtid="{D5CDD505-2E9C-101B-9397-08002B2CF9AE}" pid="5" name="Route-To">
    <vt:lpwstr/>
  </property>
  <property fmtid="{D5CDD505-2E9C-101B-9397-08002B2CF9AE}" pid="6" name="_dlc_policyId">
    <vt:lpwstr>/sites/FS-WO-CSA1/Mercury/Work Library</vt:lpwstr>
  </property>
  <property fmtid="{D5CDD505-2E9C-101B-9397-08002B2CF9AE}" pid="7" name="ItemRetentionFormula">
    <vt:lpwstr/>
  </property>
  <property fmtid="{D5CDD505-2E9C-101B-9397-08002B2CF9AE}" pid="8" name="_dlc_DocIdItemGuid">
    <vt:lpwstr>4d390e76-92f6-4a4d-9ad6-6efa6a95b8ed</vt:lpwstr>
  </property>
  <property fmtid="{D5CDD505-2E9C-101B-9397-08002B2CF9AE}" pid="9" name="MediaServiceImageTags">
    <vt:lpwstr/>
  </property>
  <property fmtid="{D5CDD505-2E9C-101B-9397-08002B2CF9AE}" pid="10" name="_docset_NoMedatataSyncRequired">
    <vt:lpwstr>False</vt:lpwstr>
  </property>
</Properties>
</file>